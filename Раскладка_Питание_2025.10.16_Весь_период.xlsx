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WORK\Repository\github.com\daily_duty\"/>
    </mc:Choice>
  </mc:AlternateContent>
  <xr:revisionPtr revIDLastSave="0" documentId="13_ncr:1_{CC3C6054-854D-4C18-835C-142943125AED}" xr6:coauthVersionLast="47" xr6:coauthVersionMax="47" xr10:uidLastSave="{00000000-0000-0000-0000-000000000000}"/>
  <bookViews>
    <workbookView xWindow="25080" yWindow="-120" windowWidth="29040" windowHeight="15840" tabRatio="721" activeTab="6" xr2:uid="{00000000-000D-0000-FFFF-FFFF00000000}"/>
  </bookViews>
  <sheets>
    <sheet name="График" sheetId="1" r:id="rId1"/>
    <sheet name="Шаблон" sheetId="2" r:id="rId2"/>
    <sheet name="Волкова А" sheetId="3" r:id="rId3"/>
    <sheet name="Ковалев Б" sheetId="4" r:id="rId4"/>
    <sheet name="Панин А" sheetId="5" r:id="rId5"/>
    <sheet name="Панин С" sheetId="6" r:id="rId6"/>
    <sheet name="Рагулин С" sheetId="7" r:id="rId7"/>
  </sheets>
  <definedNames>
    <definedName name="_xlnm.Print_Area" localSheetId="0">График!$A$1:$AC$79</definedName>
  </definedNames>
  <calcPr calcId="181029"/>
</workbook>
</file>

<file path=xl/calcChain.xml><?xml version="1.0" encoding="utf-8"?>
<calcChain xmlns="http://schemas.openxmlformats.org/spreadsheetml/2006/main">
  <c r="E20" i="3" l="1"/>
  <c r="I31" i="3"/>
  <c r="M31" i="3" s="1"/>
  <c r="Q31" i="3" s="1"/>
  <c r="S31" i="3" s="1"/>
  <c r="K68" i="7"/>
  <c r="I68" i="7"/>
  <c r="M68" i="7" s="1"/>
  <c r="Q68" i="7" s="1"/>
  <c r="K65" i="7"/>
  <c r="K63" i="7"/>
  <c r="I63" i="7"/>
  <c r="M63" i="7" s="1"/>
  <c r="Q63" i="7" s="1"/>
  <c r="K57" i="7"/>
  <c r="I57" i="7"/>
  <c r="M57" i="7" s="1"/>
  <c r="Q57" i="7" s="1"/>
  <c r="K56" i="7"/>
  <c r="I56" i="7"/>
  <c r="M56" i="7" s="1"/>
  <c r="Q56" i="7" s="1"/>
  <c r="K55" i="7"/>
  <c r="M55" i="7" s="1"/>
  <c r="I55" i="7"/>
  <c r="K54" i="7"/>
  <c r="K53" i="7"/>
  <c r="K52" i="7"/>
  <c r="M52" i="7" s="1"/>
  <c r="Q52" i="7" s="1"/>
  <c r="I52" i="7"/>
  <c r="K51" i="7"/>
  <c r="Q50" i="7"/>
  <c r="K50" i="7"/>
  <c r="M50" i="7" s="1"/>
  <c r="I50" i="7"/>
  <c r="K49" i="7"/>
  <c r="M49" i="7" s="1"/>
  <c r="Q49" i="7" s="1"/>
  <c r="I49" i="7"/>
  <c r="K43" i="7"/>
  <c r="K42" i="7"/>
  <c r="M41" i="7"/>
  <c r="K41" i="7"/>
  <c r="I41" i="7"/>
  <c r="K40" i="7"/>
  <c r="I40" i="7"/>
  <c r="M40" i="7" s="1"/>
  <c r="K39" i="7"/>
  <c r="I39" i="7"/>
  <c r="M39" i="7" s="1"/>
  <c r="K38" i="7"/>
  <c r="I38" i="7"/>
  <c r="M38" i="7" s="1"/>
  <c r="Q38" i="7" s="1"/>
  <c r="K32" i="7"/>
  <c r="S31" i="7"/>
  <c r="K31" i="7"/>
  <c r="I31" i="7"/>
  <c r="M31" i="7" s="1"/>
  <c r="Q31" i="7" s="1"/>
  <c r="K30" i="7"/>
  <c r="I30" i="7"/>
  <c r="M30" i="7" s="1"/>
  <c r="Q30" i="7" s="1"/>
  <c r="K29" i="7"/>
  <c r="I29" i="7"/>
  <c r="M29" i="7" s="1"/>
  <c r="Q29" i="7" s="1"/>
  <c r="K28" i="7"/>
  <c r="I28" i="7"/>
  <c r="M28" i="7" s="1"/>
  <c r="Q28" i="7" s="1"/>
  <c r="K27" i="7"/>
  <c r="I27" i="7"/>
  <c r="M27" i="7" s="1"/>
  <c r="Q27" i="7" s="1"/>
  <c r="M20" i="7"/>
  <c r="E20" i="7"/>
  <c r="I32" i="7" s="1"/>
  <c r="M32" i="7" s="1"/>
  <c r="E14" i="7"/>
  <c r="E8" i="7"/>
  <c r="E22" i="7" s="1"/>
  <c r="R2" i="7"/>
  <c r="K69" i="6"/>
  <c r="K68" i="6"/>
  <c r="K65" i="6"/>
  <c r="K63" i="6"/>
  <c r="K57" i="6"/>
  <c r="K56" i="6"/>
  <c r="K55" i="6"/>
  <c r="I55" i="6"/>
  <c r="K54" i="6"/>
  <c r="K53" i="6"/>
  <c r="K52" i="6"/>
  <c r="I52" i="6"/>
  <c r="K51" i="6"/>
  <c r="K50" i="6"/>
  <c r="I50" i="6"/>
  <c r="M50" i="6" s="1"/>
  <c r="Q50" i="6" s="1"/>
  <c r="K49" i="6"/>
  <c r="I49" i="6"/>
  <c r="M49" i="6" s="1"/>
  <c r="Q49" i="6" s="1"/>
  <c r="K43" i="6"/>
  <c r="K42" i="6"/>
  <c r="K41" i="6"/>
  <c r="I41" i="6"/>
  <c r="M41" i="6" s="1"/>
  <c r="K40" i="6"/>
  <c r="M40" i="6" s="1"/>
  <c r="I40" i="6"/>
  <c r="M39" i="6"/>
  <c r="K39" i="6"/>
  <c r="I39" i="6"/>
  <c r="K38" i="6"/>
  <c r="K32" i="6"/>
  <c r="M31" i="6"/>
  <c r="Q31" i="6" s="1"/>
  <c r="S31" i="6" s="1"/>
  <c r="K31" i="6"/>
  <c r="I31" i="6"/>
  <c r="M30" i="6"/>
  <c r="Q30" i="6" s="1"/>
  <c r="K30" i="6"/>
  <c r="I30" i="6"/>
  <c r="K29" i="6"/>
  <c r="M28" i="6"/>
  <c r="Q28" i="6" s="1"/>
  <c r="K28" i="6"/>
  <c r="I28" i="6"/>
  <c r="M27" i="6"/>
  <c r="Q27" i="6" s="1"/>
  <c r="K27" i="6"/>
  <c r="I27" i="6"/>
  <c r="M20" i="6"/>
  <c r="I29" i="6" s="1"/>
  <c r="M29" i="6" s="1"/>
  <c r="Q29" i="6" s="1"/>
  <c r="E20" i="6"/>
  <c r="I32" i="6" s="1"/>
  <c r="M32" i="6" s="1"/>
  <c r="E14" i="6"/>
  <c r="I43" i="6" s="1"/>
  <c r="M43" i="6" s="1"/>
  <c r="Q43" i="6" s="1"/>
  <c r="E8" i="6"/>
  <c r="I54" i="6" s="1"/>
  <c r="M54" i="6" s="1"/>
  <c r="Q54" i="6" s="1"/>
  <c r="R2" i="6"/>
  <c r="K68" i="5"/>
  <c r="K65" i="5"/>
  <c r="K63" i="5"/>
  <c r="K57" i="5"/>
  <c r="I57" i="5"/>
  <c r="M57" i="5" s="1"/>
  <c r="Q57" i="5" s="1"/>
  <c r="K56" i="5"/>
  <c r="I56" i="5"/>
  <c r="M56" i="5" s="1"/>
  <c r="Q56" i="5" s="1"/>
  <c r="K55" i="5"/>
  <c r="M55" i="5" s="1"/>
  <c r="I55" i="5"/>
  <c r="K54" i="5"/>
  <c r="K53" i="5"/>
  <c r="Q52" i="5"/>
  <c r="K52" i="5"/>
  <c r="M52" i="5" s="1"/>
  <c r="I52" i="5"/>
  <c r="K51" i="5"/>
  <c r="K50" i="5"/>
  <c r="M50" i="5" s="1"/>
  <c r="Q50" i="5" s="1"/>
  <c r="I50" i="5"/>
  <c r="Q49" i="5"/>
  <c r="K49" i="5"/>
  <c r="M49" i="5" s="1"/>
  <c r="I49" i="5"/>
  <c r="K43" i="5"/>
  <c r="K42" i="5"/>
  <c r="M41" i="5"/>
  <c r="K41" i="5"/>
  <c r="I41" i="5"/>
  <c r="K40" i="5"/>
  <c r="I40" i="5"/>
  <c r="K39" i="5"/>
  <c r="I39" i="5"/>
  <c r="M39" i="5" s="1"/>
  <c r="K38" i="5"/>
  <c r="K32" i="5"/>
  <c r="K31" i="5"/>
  <c r="I31" i="5"/>
  <c r="M31" i="5" s="1"/>
  <c r="Q31" i="5" s="1"/>
  <c r="S31" i="5" s="1"/>
  <c r="K30" i="5"/>
  <c r="I30" i="5"/>
  <c r="M30" i="5" s="1"/>
  <c r="Q30" i="5" s="1"/>
  <c r="K29" i="5"/>
  <c r="I29" i="5"/>
  <c r="M29" i="5" s="1"/>
  <c r="Q29" i="5" s="1"/>
  <c r="K28" i="5"/>
  <c r="I28" i="5"/>
  <c r="M28" i="5" s="1"/>
  <c r="Q28" i="5" s="1"/>
  <c r="K27" i="5"/>
  <c r="I27" i="5"/>
  <c r="M27" i="5" s="1"/>
  <c r="Q27" i="5" s="1"/>
  <c r="M20" i="5"/>
  <c r="E20" i="5"/>
  <c r="I32" i="5" s="1"/>
  <c r="M32" i="5" s="1"/>
  <c r="E14" i="5"/>
  <c r="I38" i="5" s="1"/>
  <c r="M38" i="5" s="1"/>
  <c r="Q38" i="5" s="1"/>
  <c r="E8" i="5"/>
  <c r="R2" i="5"/>
  <c r="K68" i="4"/>
  <c r="K65" i="4"/>
  <c r="K63" i="4"/>
  <c r="K57" i="4"/>
  <c r="K56" i="4"/>
  <c r="K55" i="4"/>
  <c r="I55" i="4"/>
  <c r="M55" i="4" s="1"/>
  <c r="K54" i="4"/>
  <c r="K53" i="4"/>
  <c r="K52" i="4"/>
  <c r="I52" i="4"/>
  <c r="M52" i="4" s="1"/>
  <c r="Q52" i="4" s="1"/>
  <c r="K51" i="4"/>
  <c r="K50" i="4"/>
  <c r="I50" i="4"/>
  <c r="K49" i="4"/>
  <c r="I49" i="4"/>
  <c r="M49" i="4" s="1"/>
  <c r="Q49" i="4" s="1"/>
  <c r="K43" i="4"/>
  <c r="K42" i="4"/>
  <c r="K41" i="4"/>
  <c r="I41" i="4"/>
  <c r="M41" i="4" s="1"/>
  <c r="K40" i="4"/>
  <c r="I40" i="4"/>
  <c r="M40" i="4" s="1"/>
  <c r="M39" i="4"/>
  <c r="K39" i="4"/>
  <c r="I39" i="4"/>
  <c r="K38" i="4"/>
  <c r="K32" i="4"/>
  <c r="K31" i="4"/>
  <c r="M30" i="4"/>
  <c r="Q30" i="4" s="1"/>
  <c r="K30" i="4"/>
  <c r="I30" i="4"/>
  <c r="K29" i="4"/>
  <c r="M28" i="4"/>
  <c r="Q28" i="4" s="1"/>
  <c r="K28" i="4"/>
  <c r="I28" i="4"/>
  <c r="M27" i="4"/>
  <c r="Q27" i="4" s="1"/>
  <c r="K27" i="4"/>
  <c r="I27" i="4"/>
  <c r="M20" i="4"/>
  <c r="I29" i="4" s="1"/>
  <c r="M29" i="4" s="1"/>
  <c r="Q29" i="4" s="1"/>
  <c r="E20" i="4"/>
  <c r="I32" i="4" s="1"/>
  <c r="M32" i="4" s="1"/>
  <c r="E14" i="4"/>
  <c r="I43" i="4" s="1"/>
  <c r="E8" i="4"/>
  <c r="I54" i="4" s="1"/>
  <c r="M54" i="4" s="1"/>
  <c r="Q54" i="4" s="1"/>
  <c r="R2" i="4"/>
  <c r="K68" i="3"/>
  <c r="K65" i="3"/>
  <c r="K63" i="3"/>
  <c r="K57" i="3"/>
  <c r="I57" i="3"/>
  <c r="M57" i="3" s="1"/>
  <c r="Q57" i="3" s="1"/>
  <c r="K56" i="3"/>
  <c r="I56" i="3"/>
  <c r="M56" i="3" s="1"/>
  <c r="Q56" i="3" s="1"/>
  <c r="K55" i="3"/>
  <c r="I55" i="3"/>
  <c r="M55" i="3" s="1"/>
  <c r="K54" i="3"/>
  <c r="K53" i="3"/>
  <c r="Q52" i="3"/>
  <c r="M52" i="3"/>
  <c r="K52" i="3"/>
  <c r="I52" i="3"/>
  <c r="K51" i="3"/>
  <c r="Q50" i="3"/>
  <c r="M50" i="3"/>
  <c r="K50" i="3"/>
  <c r="I50" i="3"/>
  <c r="Q49" i="3"/>
  <c r="M49" i="3"/>
  <c r="K49" i="3"/>
  <c r="I49" i="3"/>
  <c r="K43" i="3"/>
  <c r="K42" i="3"/>
  <c r="M41" i="3"/>
  <c r="K41" i="3"/>
  <c r="I41" i="3"/>
  <c r="K40" i="3"/>
  <c r="I40" i="3"/>
  <c r="M40" i="3" s="1"/>
  <c r="K39" i="3"/>
  <c r="I39" i="3"/>
  <c r="M39" i="3" s="1"/>
  <c r="K38" i="3"/>
  <c r="I38" i="3"/>
  <c r="M38" i="3" s="1"/>
  <c r="Q38" i="3" s="1"/>
  <c r="K32" i="3"/>
  <c r="K31" i="3"/>
  <c r="K30" i="3"/>
  <c r="I30" i="3"/>
  <c r="M30" i="3" s="1"/>
  <c r="Q30" i="3" s="1"/>
  <c r="K29" i="3"/>
  <c r="I29" i="3"/>
  <c r="M29" i="3" s="1"/>
  <c r="Q29" i="3" s="1"/>
  <c r="K28" i="3"/>
  <c r="I28" i="3"/>
  <c r="M28" i="3" s="1"/>
  <c r="Q28" i="3" s="1"/>
  <c r="K27" i="3"/>
  <c r="I27" i="3"/>
  <c r="M27" i="3" s="1"/>
  <c r="Q27" i="3" s="1"/>
  <c r="M20" i="3"/>
  <c r="I32" i="3"/>
  <c r="M32" i="3" s="1"/>
  <c r="E14" i="3"/>
  <c r="E8" i="3"/>
  <c r="R2" i="3"/>
  <c r="K69" i="2"/>
  <c r="K68" i="2"/>
  <c r="K65" i="2"/>
  <c r="K63" i="2"/>
  <c r="K57" i="2"/>
  <c r="K56" i="2"/>
  <c r="K55" i="2"/>
  <c r="I55" i="2"/>
  <c r="K54" i="2"/>
  <c r="K53" i="2"/>
  <c r="K52" i="2"/>
  <c r="M52" i="2" s="1"/>
  <c r="Q52" i="2" s="1"/>
  <c r="I52" i="2"/>
  <c r="K51" i="2"/>
  <c r="K50" i="2"/>
  <c r="M50" i="2" s="1"/>
  <c r="Q50" i="2" s="1"/>
  <c r="I50" i="2"/>
  <c r="K49" i="2"/>
  <c r="M49" i="2" s="1"/>
  <c r="Q49" i="2" s="1"/>
  <c r="I49" i="2"/>
  <c r="K43" i="2"/>
  <c r="K42" i="2"/>
  <c r="K41" i="2"/>
  <c r="I41" i="2"/>
  <c r="M41" i="2" s="1"/>
  <c r="K40" i="2"/>
  <c r="I40" i="2"/>
  <c r="M40" i="2" s="1"/>
  <c r="M39" i="2"/>
  <c r="K39" i="2"/>
  <c r="I39" i="2"/>
  <c r="K38" i="2"/>
  <c r="K32" i="2"/>
  <c r="M31" i="2"/>
  <c r="Q31" i="2" s="1"/>
  <c r="S31" i="2" s="1"/>
  <c r="K31" i="2"/>
  <c r="I31" i="2"/>
  <c r="M30" i="2"/>
  <c r="Q30" i="2" s="1"/>
  <c r="K30" i="2"/>
  <c r="I30" i="2"/>
  <c r="K29" i="2"/>
  <c r="M28" i="2"/>
  <c r="Q28" i="2" s="1"/>
  <c r="K28" i="2"/>
  <c r="I28" i="2"/>
  <c r="M27" i="2"/>
  <c r="Q27" i="2" s="1"/>
  <c r="K27" i="2"/>
  <c r="I27" i="2"/>
  <c r="M20" i="2"/>
  <c r="I29" i="2" s="1"/>
  <c r="M29" i="2" s="1"/>
  <c r="Q29" i="2" s="1"/>
  <c r="E20" i="2"/>
  <c r="I32" i="2" s="1"/>
  <c r="M32" i="2" s="1"/>
  <c r="E14" i="2"/>
  <c r="I43" i="2" s="1"/>
  <c r="M43" i="2" s="1"/>
  <c r="Q43" i="2" s="1"/>
  <c r="E8" i="2"/>
  <c r="R2" i="2"/>
  <c r="B78" i="1"/>
  <c r="B77" i="1"/>
  <c r="B75" i="1"/>
  <c r="B74" i="1"/>
  <c r="B72" i="1"/>
  <c r="B71" i="1"/>
  <c r="B69" i="1"/>
  <c r="B68" i="1"/>
  <c r="B66" i="1"/>
  <c r="B65" i="1"/>
  <c r="B63" i="1"/>
  <c r="B62" i="1"/>
  <c r="B60" i="1"/>
  <c r="B59" i="1"/>
  <c r="B57" i="1"/>
  <c r="B56" i="1"/>
  <c r="B54" i="1"/>
  <c r="B53" i="1"/>
  <c r="B51" i="1"/>
  <c r="B50" i="1"/>
  <c r="B48" i="1"/>
  <c r="B47" i="1"/>
  <c r="B45" i="1"/>
  <c r="B44" i="1"/>
  <c r="B42" i="1"/>
  <c r="B41" i="1"/>
  <c r="B39" i="1"/>
  <c r="B38" i="1"/>
  <c r="B36" i="1"/>
  <c r="B35" i="1"/>
  <c r="B33" i="1"/>
  <c r="B32" i="1"/>
  <c r="B30" i="1"/>
  <c r="B29" i="1"/>
  <c r="B27" i="1"/>
  <c r="B26" i="1"/>
  <c r="B24" i="1"/>
  <c r="B23" i="1"/>
  <c r="B21" i="1"/>
  <c r="B20" i="1"/>
  <c r="B18" i="1"/>
  <c r="B17" i="1"/>
  <c r="B15" i="1"/>
  <c r="B14" i="1"/>
  <c r="B12" i="1"/>
  <c r="B11" i="1"/>
  <c r="B9" i="1"/>
  <c r="B8" i="1"/>
  <c r="B6" i="1"/>
  <c r="C6" i="1" s="1"/>
  <c r="E22" i="3" l="1"/>
  <c r="I68" i="3" s="1"/>
  <c r="M68" i="3" s="1"/>
  <c r="Q68" i="3" s="1"/>
  <c r="I54" i="2"/>
  <c r="M54" i="2" s="1"/>
  <c r="Q54" i="2" s="1"/>
  <c r="I53" i="2"/>
  <c r="M53" i="2" s="1"/>
  <c r="Q53" i="2" s="1"/>
  <c r="I57" i="2"/>
  <c r="M57" i="2" s="1"/>
  <c r="Q57" i="2" s="1"/>
  <c r="I56" i="2"/>
  <c r="M56" i="2" s="1"/>
  <c r="Q56" i="2" s="1"/>
  <c r="E22" i="2"/>
  <c r="I65" i="3"/>
  <c r="M65" i="3" s="1"/>
  <c r="Q65" i="3" s="1"/>
  <c r="M43" i="4"/>
  <c r="Q43" i="4" s="1"/>
  <c r="E22" i="5"/>
  <c r="M40" i="5"/>
  <c r="I38" i="2"/>
  <c r="M38" i="2" s="1"/>
  <c r="Q38" i="2" s="1"/>
  <c r="I43" i="5"/>
  <c r="M43" i="5" s="1"/>
  <c r="Q43" i="5" s="1"/>
  <c r="I42" i="5"/>
  <c r="M42" i="5" s="1"/>
  <c r="Q42" i="5" s="1"/>
  <c r="I65" i="7"/>
  <c r="M65" i="7" s="1"/>
  <c r="Q65" i="7" s="1"/>
  <c r="I42" i="2"/>
  <c r="M42" i="2" s="1"/>
  <c r="Q42" i="2" s="1"/>
  <c r="I51" i="2"/>
  <c r="M51" i="2" s="1"/>
  <c r="Q51" i="2" s="1"/>
  <c r="M55" i="2"/>
  <c r="I43" i="3"/>
  <c r="M43" i="3" s="1"/>
  <c r="Q43" i="3" s="1"/>
  <c r="I42" i="3"/>
  <c r="M42" i="3" s="1"/>
  <c r="Q42" i="3" s="1"/>
  <c r="Q71" i="3" s="1"/>
  <c r="I63" i="3"/>
  <c r="M63" i="3" s="1"/>
  <c r="Q63" i="3" s="1"/>
  <c r="M50" i="4"/>
  <c r="Q50" i="4" s="1"/>
  <c r="M52" i="6"/>
  <c r="Q52" i="6" s="1"/>
  <c r="M55" i="6"/>
  <c r="I43" i="7"/>
  <c r="M43" i="7" s="1"/>
  <c r="Q43" i="7" s="1"/>
  <c r="I42" i="7"/>
  <c r="M42" i="7" s="1"/>
  <c r="Q42" i="7" s="1"/>
  <c r="Q71" i="7" s="1"/>
  <c r="I51" i="3"/>
  <c r="M51" i="3" s="1"/>
  <c r="Q51" i="3" s="1"/>
  <c r="I53" i="3"/>
  <c r="M53" i="3" s="1"/>
  <c r="Q53" i="3" s="1"/>
  <c r="I54" i="3"/>
  <c r="M54" i="3" s="1"/>
  <c r="Q54" i="3" s="1"/>
  <c r="E22" i="4"/>
  <c r="I51" i="5"/>
  <c r="M51" i="5" s="1"/>
  <c r="Q51" i="5" s="1"/>
  <c r="I53" i="5"/>
  <c r="M53" i="5" s="1"/>
  <c r="Q53" i="5" s="1"/>
  <c r="I54" i="5"/>
  <c r="M54" i="5" s="1"/>
  <c r="Q54" i="5" s="1"/>
  <c r="E22" i="6"/>
  <c r="I51" i="7"/>
  <c r="M51" i="7" s="1"/>
  <c r="Q51" i="7" s="1"/>
  <c r="I53" i="7"/>
  <c r="M53" i="7" s="1"/>
  <c r="Q53" i="7" s="1"/>
  <c r="I54" i="7"/>
  <c r="M54" i="7" s="1"/>
  <c r="Q54" i="7" s="1"/>
  <c r="I31" i="4"/>
  <c r="M31" i="4" s="1"/>
  <c r="Q31" i="4" s="1"/>
  <c r="S31" i="4" s="1"/>
  <c r="I38" i="4"/>
  <c r="M38" i="4" s="1"/>
  <c r="Q38" i="4" s="1"/>
  <c r="I56" i="4"/>
  <c r="M56" i="4" s="1"/>
  <c r="Q56" i="4" s="1"/>
  <c r="I57" i="4"/>
  <c r="M57" i="4" s="1"/>
  <c r="Q57" i="4" s="1"/>
  <c r="I38" i="6"/>
  <c r="M38" i="6" s="1"/>
  <c r="Q38" i="6" s="1"/>
  <c r="I56" i="6"/>
  <c r="M56" i="6" s="1"/>
  <c r="Q56" i="6" s="1"/>
  <c r="I57" i="6"/>
  <c r="M57" i="6" s="1"/>
  <c r="Q57" i="6" s="1"/>
  <c r="I42" i="4"/>
  <c r="M42" i="4" s="1"/>
  <c r="Q42" i="4" s="1"/>
  <c r="I51" i="4"/>
  <c r="M51" i="4" s="1"/>
  <c r="Q51" i="4" s="1"/>
  <c r="I53" i="4"/>
  <c r="M53" i="4" s="1"/>
  <c r="Q53" i="4" s="1"/>
  <c r="I42" i="6"/>
  <c r="M42" i="6" s="1"/>
  <c r="Q42" i="6" s="1"/>
  <c r="I51" i="6"/>
  <c r="M51" i="6" s="1"/>
  <c r="Q51" i="6" s="1"/>
  <c r="I53" i="6"/>
  <c r="M53" i="6" s="1"/>
  <c r="Q53" i="6" s="1"/>
  <c r="I69" i="6" l="1"/>
  <c r="M69" i="6" s="1"/>
  <c r="I68" i="6"/>
  <c r="M68" i="6" s="1"/>
  <c r="Q68" i="6" s="1"/>
  <c r="I65" i="6"/>
  <c r="M65" i="6" s="1"/>
  <c r="Q65" i="6" s="1"/>
  <c r="I63" i="6"/>
  <c r="M63" i="6" s="1"/>
  <c r="Q63" i="6" s="1"/>
  <c r="Q71" i="6" s="1"/>
  <c r="I68" i="4"/>
  <c r="M68" i="4" s="1"/>
  <c r="Q68" i="4" s="1"/>
  <c r="I65" i="4"/>
  <c r="M65" i="4" s="1"/>
  <c r="Q65" i="4" s="1"/>
  <c r="I63" i="4"/>
  <c r="M63" i="4" s="1"/>
  <c r="Q63" i="4" s="1"/>
  <c r="Q71" i="4" s="1"/>
  <c r="I68" i="5"/>
  <c r="M68" i="5" s="1"/>
  <c r="Q68" i="5" s="1"/>
  <c r="I63" i="5"/>
  <c r="M63" i="5" s="1"/>
  <c r="Q63" i="5" s="1"/>
  <c r="Q71" i="5" s="1"/>
  <c r="I65" i="5"/>
  <c r="M65" i="5" s="1"/>
  <c r="Q65" i="5" s="1"/>
  <c r="I69" i="2"/>
  <c r="M69" i="2" s="1"/>
  <c r="I68" i="2"/>
  <c r="M68" i="2" s="1"/>
  <c r="Q68" i="2" s="1"/>
  <c r="I65" i="2"/>
  <c r="M65" i="2" s="1"/>
  <c r="Q65" i="2" s="1"/>
  <c r="I63" i="2"/>
  <c r="M63" i="2" s="1"/>
  <c r="Q63" i="2" s="1"/>
  <c r="Q7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0000000-0006-0000-0000-000001000000}">
      <text>
        <r>
          <rPr>
            <sz val="8"/>
            <rFont val="Tahoma"/>
          </rPr>
          <t xml:space="preserve">Убедитесь, что в диапазон попали все необходимые ячейки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1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1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2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2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3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3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4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4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5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5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00000000-0006-0000-0600-000001000000}">
      <text>
        <r>
          <rPr>
            <sz val="8"/>
            <rFont val="Tahoma"/>
          </rPr>
          <t>User:
Заполняется вручную</t>
        </r>
      </text>
    </comment>
    <comment ref="Q66" authorId="0" shapeId="0" xr:uid="{00000000-0006-0000-0600-000002000000}">
      <text>
        <r>
          <rPr>
            <sz val="8"/>
            <rFont val="Tahoma"/>
          </rPr>
          <t>User:
Заполняется вручную</t>
        </r>
      </text>
    </comment>
  </commentList>
</comments>
</file>

<file path=xl/sharedStrings.xml><?xml version="1.0" encoding="utf-8"?>
<sst xmlns="http://schemas.openxmlformats.org/spreadsheetml/2006/main" count="1057" uniqueCount="76">
  <si>
    <t>Тест</t>
  </si>
  <si>
    <t>!!! Версия !!!</t>
  </si>
  <si>
    <t>График дежурств отъезд 16 октября 2025г</t>
  </si>
  <si>
    <t>Кол-во</t>
  </si>
  <si>
    <t>Общее кол-во
приемов пищи</t>
  </si>
  <si>
    <t>Дежурств на 1 участника</t>
  </si>
  <si>
    <t>участников на данный день</t>
  </si>
  <si>
    <t>четверг</t>
  </si>
  <si>
    <t>пятница</t>
  </si>
  <si>
    <t>суббота</t>
  </si>
  <si>
    <t>воскресенье</t>
  </si>
  <si>
    <t>Завтрак</t>
  </si>
  <si>
    <t>Гречка</t>
  </si>
  <si>
    <t>Панин А</t>
  </si>
  <si>
    <t>Обед</t>
  </si>
  <si>
    <t>Без супа</t>
  </si>
  <si>
    <t>Панин С</t>
  </si>
  <si>
    <t>Ужин</t>
  </si>
  <si>
    <t>Геркулес</t>
  </si>
  <si>
    <t>Рагулин С</t>
  </si>
  <si>
    <t>Рис</t>
  </si>
  <si>
    <t>Ковалев Б</t>
  </si>
  <si>
    <t>Волкова А</t>
  </si>
  <si>
    <t>Макароны(сыр)</t>
  </si>
  <si>
    <t>Пшенка</t>
  </si>
  <si>
    <t>Макароны(мясо)</t>
  </si>
  <si>
    <t>Калькулятор для раскладки</t>
  </si>
  <si>
    <t/>
  </si>
  <si>
    <t>Рассчет питания согласно графику дежурств</t>
  </si>
  <si>
    <t>Коэффициент Стульникова</t>
  </si>
  <si>
    <t>отъезд 16 октября 2025г</t>
  </si>
  <si>
    <t>Мкароны(сыр)</t>
  </si>
  <si>
    <t>Каша с молоком или макароны</t>
  </si>
  <si>
    <t>=</t>
  </si>
  <si>
    <t>+</t>
  </si>
  <si>
    <t>Перекус.</t>
  </si>
  <si>
    <t>каждый выбирает на себя сам</t>
  </si>
  <si>
    <t>Харчо</t>
  </si>
  <si>
    <t>Борщ</t>
  </si>
  <si>
    <t>Гороховый</t>
  </si>
  <si>
    <t>Обед.</t>
  </si>
  <si>
    <t>Перловка</t>
  </si>
  <si>
    <t>Каша с мясом</t>
  </si>
  <si>
    <t>Общее</t>
  </si>
  <si>
    <t>Коэфф</t>
  </si>
  <si>
    <t>порций</t>
  </si>
  <si>
    <t>Стульникова</t>
  </si>
  <si>
    <t>Общий вес гр.</t>
  </si>
  <si>
    <t>Цена</t>
  </si>
  <si>
    <t>×</t>
  </si>
  <si>
    <t>Тушенка</t>
  </si>
  <si>
    <t>банки</t>
  </si>
  <si>
    <t>Печенье, 2 шт.</t>
  </si>
  <si>
    <t>Лимон в чай</t>
  </si>
  <si>
    <t>супы на усмотрение участников</t>
  </si>
  <si>
    <t>Бутерброд с копчен.</t>
  </si>
  <si>
    <t>Суп харчо</t>
  </si>
  <si>
    <t>Сухари</t>
  </si>
  <si>
    <t>Репчатый лук</t>
  </si>
  <si>
    <t>средних</t>
  </si>
  <si>
    <t>Взять термос (небольшой)</t>
  </si>
  <si>
    <t>Сгущеное молоко</t>
  </si>
  <si>
    <t>Топленое(сливочное) масло</t>
  </si>
  <si>
    <t>Изюм по 1 ст. ложке</t>
  </si>
  <si>
    <t>Сыр тертый</t>
  </si>
  <si>
    <t>Бутерброд с сыром</t>
  </si>
  <si>
    <t>Продукты, употребляемые в завтрак, обед и ужин</t>
  </si>
  <si>
    <t>Сахар кусковой</t>
  </si>
  <si>
    <t>Чеснок</t>
  </si>
  <si>
    <t>2 головки</t>
  </si>
  <si>
    <t>Кетчуп</t>
  </si>
  <si>
    <t>пакетик</t>
  </si>
  <si>
    <t>Хлеб черный, белый</t>
  </si>
  <si>
    <t xml:space="preserve">докупается в походе </t>
  </si>
  <si>
    <t>Соль</t>
  </si>
  <si>
    <t>Чай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</si>
</sst>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8"/>
      <name val="Tahoma"/>
    </font>
    <font>
      <sz val="10"/>
      <name val="Arial Cyr"/>
      <charset val="204"/>
    </font>
    <font>
      <sz val="11"/>
      <name val="Arial Cyr"/>
      <charset val="204"/>
    </font>
    <font>
      <sz val="18"/>
      <name val="Arial Cyr"/>
      <charset val="204"/>
    </font>
    <font>
      <sz val="14"/>
      <name val="Arial Cyr"/>
    </font>
    <font>
      <sz val="16"/>
      <name val="Arial Cyr"/>
      <charset val="204"/>
    </font>
    <font>
      <b/>
      <sz val="18"/>
      <name val="Arial Cyr"/>
    </font>
    <font>
      <sz val="14"/>
      <name val="Arial Cyr"/>
      <charset val="204"/>
    </font>
    <font>
      <sz val="14"/>
      <name val="Arial"/>
      <family val="2"/>
      <charset val="204"/>
    </font>
    <font>
      <sz val="18"/>
      <color rgb="FFFF0000"/>
      <name val="Arial Cyr"/>
      <charset val="204"/>
    </font>
    <font>
      <sz val="14"/>
      <color rgb="FF0000FF"/>
      <name val="Arial Cyr"/>
      <charset val="204"/>
    </font>
    <font>
      <sz val="14"/>
      <color rgb="FF800080"/>
      <name val="Arial Cyr"/>
      <charset val="204"/>
    </font>
    <font>
      <sz val="14"/>
      <color rgb="FF008000"/>
      <name val="Arial Cyr"/>
      <charset val="204"/>
    </font>
    <font>
      <sz val="14"/>
      <color rgb="FFFF0000"/>
      <name val="Arial Cyr"/>
      <charset val="204"/>
    </font>
    <font>
      <i/>
      <sz val="12"/>
      <name val="Arial Cyr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55">
    <xf numFmtId="0" fontId="1" fillId="0" borderId="0" xfId="0" applyFont="1"/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" fontId="7" fillId="3" borderId="0" xfId="0" applyNumberFormat="1" applyFont="1" applyFill="1" applyAlignment="1">
      <alignment horizontal="center"/>
    </xf>
    <xf numFmtId="1" fontId="10" fillId="6" borderId="11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" fontId="7" fillId="4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indent="7"/>
    </xf>
    <xf numFmtId="0" fontId="7" fillId="3" borderId="0" xfId="0" applyFont="1" applyFill="1" applyAlignment="1">
      <alignment horizontal="center" vertical="center"/>
    </xf>
    <xf numFmtId="1" fontId="11" fillId="6" borderId="11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3" xfId="0" applyFont="1" applyBorder="1"/>
    <xf numFmtId="2" fontId="7" fillId="0" borderId="0" xfId="0" applyNumberFormat="1" applyFont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1" fontId="11" fillId="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0" fontId="7" fillId="8" borderId="0" xfId="0" applyFont="1" applyFill="1"/>
    <xf numFmtId="1" fontId="5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/>
    </xf>
    <xf numFmtId="1" fontId="7" fillId="7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center"/>
    </xf>
    <xf numFmtId="1" fontId="10" fillId="6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4" fillId="0" borderId="0" xfId="0" applyFont="1" applyAlignment="1">
      <alignment horizontal="right" indent="7"/>
    </xf>
    <xf numFmtId="0" fontId="7" fillId="0" borderId="8" xfId="0" applyFont="1" applyBorder="1"/>
    <xf numFmtId="0" fontId="13" fillId="0" borderId="0" xfId="0" applyFont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7" fillId="8" borderId="0" xfId="0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9" xfId="0" applyFont="1" applyBorder="1"/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/>
    <xf numFmtId="1" fontId="10" fillId="3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/>
    </xf>
    <xf numFmtId="0" fontId="7" fillId="0" borderId="5" xfId="0" applyFont="1" applyBorder="1" applyAlignment="1">
      <alignment vertical="center"/>
    </xf>
    <xf numFmtId="0" fontId="7" fillId="4" borderId="0" xfId="0" applyFont="1" applyFill="1" applyAlignment="1">
      <alignment horizont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10" borderId="5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7" fillId="0" borderId="14" xfId="0" applyFont="1" applyBorder="1"/>
    <xf numFmtId="0" fontId="1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/>
    <xf numFmtId="0" fontId="1" fillId="0" borderId="19" xfId="0" applyFont="1" applyBorder="1"/>
    <xf numFmtId="0" fontId="1" fillId="0" borderId="15" xfId="0" applyFont="1" applyBorder="1"/>
    <xf numFmtId="0" fontId="7" fillId="0" borderId="16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/>
    <xf numFmtId="0" fontId="7" fillId="10" borderId="2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/>
    <xf numFmtId="0" fontId="2" fillId="2" borderId="2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" fillId="0" borderId="20" xfId="0" applyFont="1" applyBorder="1"/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6" xfId="0" applyFont="1" applyBorder="1"/>
    <xf numFmtId="0" fontId="0" fillId="0" borderId="0" xfId="0"/>
    <xf numFmtId="0" fontId="4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6" borderId="0" xfId="0" applyFont="1" applyFill="1"/>
    <xf numFmtId="0" fontId="7" fillId="0" borderId="0" xfId="0" applyFont="1"/>
    <xf numFmtId="1" fontId="7" fillId="3" borderId="11" xfId="0" applyNumberFormat="1" applyFont="1" applyFill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49" fontId="7" fillId="0" borderId="0" xfId="0" applyNumberFormat="1" applyFont="1" applyAlignment="1">
      <alignment horizontal="center"/>
    </xf>
    <xf numFmtId="0" fontId="7" fillId="4" borderId="0" xfId="0" applyFont="1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wrapText="1"/>
    </xf>
    <xf numFmtId="0" fontId="7" fillId="9" borderId="0" xfId="0" applyFont="1" applyFill="1"/>
    <xf numFmtId="0" fontId="7" fillId="3" borderId="0" xfId="0" applyFont="1" applyFill="1"/>
    <xf numFmtId="49" fontId="7" fillId="0" borderId="0" xfId="0" applyNumberFormat="1" applyFont="1" applyAlignment="1">
      <alignment horizontal="left"/>
    </xf>
    <xf numFmtId="1" fontId="7" fillId="4" borderId="13" xfId="0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13" xfId="0" applyFont="1" applyBorder="1"/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 vertical="center" wrapText="1"/>
    </xf>
    <xf numFmtId="0" fontId="0" fillId="0" borderId="12" xfId="0" applyBorder="1"/>
    <xf numFmtId="0" fontId="7" fillId="7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autoPageBreaks="0" fitToPage="1"/>
  </sheetPr>
  <dimension ref="A1:AG87"/>
  <sheetViews>
    <sheetView showOutlineSymbols="0" defaultGridColor="0" view="pageBreakPreview" topLeftCell="A4" colorId="21" zoomScale="70" zoomScaleNormal="40" zoomScaleSheetLayoutView="70" workbookViewId="0">
      <selection activeCell="E18" sqref="E18"/>
    </sheetView>
  </sheetViews>
  <sheetFormatPr defaultColWidth="10.6640625" defaultRowHeight="12.75" customHeight="1" x14ac:dyDescent="0.2"/>
  <cols>
    <col min="2" max="3" width="19.83203125" style="116" customWidth="1"/>
    <col min="4" max="4" width="20.5" style="116" customWidth="1"/>
    <col min="5" max="5" width="20.6640625" style="116" customWidth="1"/>
    <col min="6" max="29" width="20.33203125" style="116" customWidth="1"/>
  </cols>
  <sheetData>
    <row r="1" spans="1:33" ht="12.75" customHeight="1" thickBot="1" x14ac:dyDescent="0.25">
      <c r="A1" t="s">
        <v>0</v>
      </c>
    </row>
    <row r="2" spans="1:33" ht="19.5" customHeight="1" thickBot="1" x14ac:dyDescent="0.3">
      <c r="B2" s="1" t="s">
        <v>1</v>
      </c>
      <c r="C2" s="121">
        <v>1</v>
      </c>
      <c r="D2" s="134" t="s">
        <v>2</v>
      </c>
      <c r="E2" s="133"/>
      <c r="F2" s="133"/>
      <c r="G2" s="133"/>
      <c r="H2" s="133"/>
      <c r="I2" s="133"/>
      <c r="J2" s="133"/>
      <c r="K2" s="1"/>
      <c r="L2" s="1"/>
      <c r="M2" s="51"/>
      <c r="N2" s="51"/>
    </row>
    <row r="3" spans="1:33" ht="19.5" customHeight="1" x14ac:dyDescent="0.25">
      <c r="B3" s="1"/>
      <c r="C3" s="1"/>
      <c r="D3" s="1"/>
      <c r="E3" s="1"/>
      <c r="F3" s="132"/>
      <c r="G3" s="133"/>
      <c r="H3" s="133"/>
      <c r="I3" s="1"/>
      <c r="J3" s="1"/>
      <c r="K3" s="1"/>
      <c r="L3" s="1"/>
      <c r="M3" s="51"/>
      <c r="N3" s="51"/>
    </row>
    <row r="4" spans="1:33" ht="20.25" customHeight="1" x14ac:dyDescent="0.25">
      <c r="B4" s="52" t="s">
        <v>3</v>
      </c>
      <c r="C4" s="52" t="s">
        <v>3</v>
      </c>
      <c r="D4" s="52" t="s">
        <v>3</v>
      </c>
      <c r="E4" s="26"/>
      <c r="F4" s="26"/>
      <c r="G4" s="26"/>
      <c r="H4" s="26"/>
      <c r="I4" s="26"/>
      <c r="J4" s="26"/>
      <c r="K4" s="26"/>
      <c r="L4" s="26"/>
      <c r="N4" s="51"/>
    </row>
    <row r="5" spans="1:33" ht="56.1" customHeight="1" x14ac:dyDescent="0.2">
      <c r="B5" s="122" t="s">
        <v>4</v>
      </c>
      <c r="C5" s="122" t="s">
        <v>5</v>
      </c>
      <c r="D5" s="120" t="s">
        <v>6</v>
      </c>
      <c r="E5" s="48"/>
      <c r="F5" s="55" t="s">
        <v>7</v>
      </c>
      <c r="G5" s="55" t="s">
        <v>8</v>
      </c>
      <c r="H5" s="55" t="s">
        <v>9</v>
      </c>
      <c r="I5" s="55" t="s">
        <v>10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 spans="1:33" ht="20.25" customHeight="1" x14ac:dyDescent="0.2">
      <c r="B6" s="52">
        <f>COUNT(D8:D111)</f>
        <v>11</v>
      </c>
      <c r="C6" s="62">
        <f>B6/D6</f>
        <v>2.2000000000000002</v>
      </c>
      <c r="D6" s="10">
        <v>5</v>
      </c>
      <c r="E6" s="48"/>
      <c r="F6" s="55">
        <v>16</v>
      </c>
      <c r="G6" s="56">
        <v>17</v>
      </c>
      <c r="H6" s="55">
        <v>18</v>
      </c>
      <c r="I6" s="56">
        <v>19</v>
      </c>
      <c r="J6" s="55"/>
      <c r="K6" s="56"/>
      <c r="L6" s="55"/>
      <c r="M6" s="56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33" ht="20.25" customHeight="1" thickBot="1" x14ac:dyDescent="0.3">
      <c r="A7" s="35"/>
      <c r="B7" s="41"/>
      <c r="C7" s="41"/>
      <c r="D7" s="1"/>
      <c r="E7" s="1"/>
      <c r="F7" s="1"/>
      <c r="G7" s="1"/>
      <c r="H7" s="1"/>
      <c r="I7" s="1"/>
      <c r="J7" s="1"/>
      <c r="K7" s="1"/>
      <c r="L7" s="1"/>
      <c r="M7" s="51"/>
      <c r="N7" s="51"/>
    </row>
    <row r="8" spans="1:33" ht="20.25" customHeight="1" x14ac:dyDescent="0.25">
      <c r="A8" s="131">
        <v>5</v>
      </c>
      <c r="B8" s="57" t="str">
        <f>F5</f>
        <v>четверг</v>
      </c>
      <c r="C8" s="58" t="s">
        <v>11</v>
      </c>
      <c r="D8" s="65">
        <v>5</v>
      </c>
      <c r="E8" s="125" t="s">
        <v>12</v>
      </c>
      <c r="F8" s="88" t="s">
        <v>13</v>
      </c>
      <c r="G8" s="87"/>
      <c r="H8" s="64"/>
      <c r="I8" s="65"/>
      <c r="J8" s="65"/>
      <c r="K8" s="64"/>
      <c r="L8" s="64"/>
      <c r="M8" s="66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1"/>
      <c r="AE8" s="1"/>
      <c r="AG8" s="51"/>
    </row>
    <row r="9" spans="1:33" ht="20.25" customHeight="1" x14ac:dyDescent="0.25">
      <c r="A9" s="130"/>
      <c r="B9" s="58">
        <f>F6</f>
        <v>16</v>
      </c>
      <c r="C9" s="58" t="s">
        <v>14</v>
      </c>
      <c r="D9" s="65">
        <v>5</v>
      </c>
      <c r="E9" s="69" t="s">
        <v>15</v>
      </c>
      <c r="F9" s="73" t="s">
        <v>16</v>
      </c>
      <c r="G9" s="77"/>
      <c r="H9" s="70"/>
      <c r="I9" s="70"/>
      <c r="J9" s="68"/>
      <c r="K9" s="68"/>
      <c r="L9" s="68"/>
      <c r="M9" s="66"/>
      <c r="N9" s="66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26"/>
      <c r="AE9" s="26"/>
    </row>
    <row r="10" spans="1:33" ht="20.25" customHeight="1" thickBot="1" x14ac:dyDescent="0.25">
      <c r="A10" s="130"/>
      <c r="B10" s="59"/>
      <c r="C10" s="93" t="s">
        <v>17</v>
      </c>
      <c r="D10" s="107">
        <v>5</v>
      </c>
      <c r="E10" s="126" t="s">
        <v>18</v>
      </c>
      <c r="F10" s="74" t="s">
        <v>19</v>
      </c>
      <c r="G10" s="94"/>
      <c r="H10" s="95"/>
      <c r="I10" s="96"/>
      <c r="J10" s="97"/>
      <c r="K10" s="97"/>
      <c r="L10" s="97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26"/>
      <c r="AE10" s="26"/>
    </row>
    <row r="11" spans="1:33" ht="20.25" customHeight="1" x14ac:dyDescent="0.25">
      <c r="A11" s="130"/>
      <c r="B11" s="58" t="str">
        <f>G5</f>
        <v>пятница</v>
      </c>
      <c r="C11" s="58" t="s">
        <v>11</v>
      </c>
      <c r="D11" s="117">
        <v>5</v>
      </c>
      <c r="E11" s="123" t="s">
        <v>20</v>
      </c>
      <c r="F11" s="78"/>
      <c r="G11" s="88" t="s">
        <v>21</v>
      </c>
      <c r="H11" s="89"/>
      <c r="I11" s="90"/>
      <c r="J11" s="91"/>
      <c r="K11" s="91"/>
      <c r="L11" s="91"/>
      <c r="M11" s="92"/>
      <c r="N11" s="92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26"/>
      <c r="AE11" s="26"/>
    </row>
    <row r="12" spans="1:33" ht="20.25" customHeight="1" x14ac:dyDescent="0.25">
      <c r="A12" s="130"/>
      <c r="B12" s="58">
        <f>G6</f>
        <v>17</v>
      </c>
      <c r="C12" s="58" t="s">
        <v>14</v>
      </c>
      <c r="D12" s="118">
        <v>5</v>
      </c>
      <c r="E12" s="69" t="s">
        <v>15</v>
      </c>
      <c r="F12" s="71"/>
      <c r="G12" s="73" t="s">
        <v>22</v>
      </c>
      <c r="H12" s="72"/>
      <c r="I12" s="70"/>
      <c r="J12" s="68"/>
      <c r="K12" s="68"/>
      <c r="L12" s="68"/>
      <c r="M12" s="66"/>
      <c r="N12" s="66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26"/>
      <c r="AE12" s="26"/>
    </row>
    <row r="13" spans="1:33" ht="20.25" customHeight="1" thickBot="1" x14ac:dyDescent="0.25">
      <c r="A13" s="130"/>
      <c r="B13" s="59"/>
      <c r="C13" s="59" t="s">
        <v>17</v>
      </c>
      <c r="D13" s="118">
        <v>5</v>
      </c>
      <c r="E13" s="124" t="s">
        <v>23</v>
      </c>
      <c r="F13" s="102"/>
      <c r="G13" s="74" t="s">
        <v>16</v>
      </c>
      <c r="H13" s="103"/>
      <c r="I13" s="96"/>
      <c r="J13" s="97"/>
      <c r="K13" s="97"/>
      <c r="L13" s="97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26"/>
      <c r="AE13" s="26"/>
    </row>
    <row r="14" spans="1:33" ht="20.25" customHeight="1" x14ac:dyDescent="0.25">
      <c r="A14" s="130"/>
      <c r="B14" s="58" t="str">
        <f>H5</f>
        <v>суббота</v>
      </c>
      <c r="C14" s="58" t="s">
        <v>11</v>
      </c>
      <c r="D14" s="118">
        <v>5</v>
      </c>
      <c r="E14" s="125" t="s">
        <v>12</v>
      </c>
      <c r="F14" s="90"/>
      <c r="G14" s="75"/>
      <c r="H14" s="88" t="s">
        <v>13</v>
      </c>
      <c r="I14" s="100"/>
      <c r="J14" s="101"/>
      <c r="K14" s="101"/>
      <c r="L14" s="91"/>
      <c r="M14" s="92"/>
      <c r="N14" s="92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52"/>
      <c r="AE14" s="26"/>
    </row>
    <row r="15" spans="1:33" ht="20.25" customHeight="1" x14ac:dyDescent="0.25">
      <c r="A15" s="130"/>
      <c r="B15" s="58">
        <f>H6</f>
        <v>18</v>
      </c>
      <c r="C15" s="58" t="s">
        <v>14</v>
      </c>
      <c r="D15" s="118">
        <v>5</v>
      </c>
      <c r="E15" s="69" t="s">
        <v>15</v>
      </c>
      <c r="F15" s="70"/>
      <c r="G15" s="76"/>
      <c r="H15" s="73" t="s">
        <v>19</v>
      </c>
      <c r="I15" s="77"/>
      <c r="J15" s="65"/>
      <c r="K15" s="66"/>
      <c r="L15" s="68"/>
      <c r="M15" s="66"/>
      <c r="N15" s="66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52"/>
      <c r="AE15" s="26"/>
    </row>
    <row r="16" spans="1:33" ht="20.25" customHeight="1" thickBot="1" x14ac:dyDescent="0.25">
      <c r="A16" s="130"/>
      <c r="B16" s="59"/>
      <c r="C16" s="59" t="s">
        <v>17</v>
      </c>
      <c r="D16" s="118">
        <v>5</v>
      </c>
      <c r="E16" s="126" t="s">
        <v>24</v>
      </c>
      <c r="F16" s="96"/>
      <c r="G16" s="105"/>
      <c r="H16" s="74" t="s">
        <v>21</v>
      </c>
      <c r="I16" s="106"/>
      <c r="J16" s="107"/>
      <c r="K16" s="98"/>
      <c r="L16" s="97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52"/>
      <c r="AE16" s="26"/>
    </row>
    <row r="17" spans="1:33" ht="20.25" customHeight="1" x14ac:dyDescent="0.25">
      <c r="A17" s="130"/>
      <c r="B17" s="58" t="str">
        <f>I5</f>
        <v>воскресенье</v>
      </c>
      <c r="C17" s="58" t="s">
        <v>11</v>
      </c>
      <c r="D17" s="118">
        <v>5</v>
      </c>
      <c r="E17" s="123" t="s">
        <v>25</v>
      </c>
      <c r="F17" s="90"/>
      <c r="G17" s="90"/>
      <c r="H17" s="78"/>
      <c r="I17" s="88" t="s">
        <v>22</v>
      </c>
      <c r="J17" s="104"/>
      <c r="K17" s="92"/>
      <c r="L17" s="91"/>
      <c r="M17" s="92"/>
      <c r="N17" s="92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52"/>
      <c r="AE17" s="26"/>
    </row>
    <row r="18" spans="1:33" ht="20.25" customHeight="1" x14ac:dyDescent="0.25">
      <c r="A18" s="130"/>
      <c r="B18" s="58">
        <f>I6</f>
        <v>19</v>
      </c>
      <c r="C18" s="58" t="s">
        <v>14</v>
      </c>
      <c r="D18" s="118">
        <v>5</v>
      </c>
      <c r="E18" s="69" t="s">
        <v>15</v>
      </c>
      <c r="F18" s="68"/>
      <c r="G18" s="68"/>
      <c r="H18" s="79"/>
      <c r="I18" s="73" t="s">
        <v>16</v>
      </c>
      <c r="J18" s="80"/>
      <c r="K18" s="65"/>
      <c r="L18" s="68"/>
      <c r="M18" s="66"/>
      <c r="N18" s="66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52"/>
      <c r="AE18" s="26"/>
    </row>
    <row r="19" spans="1:33" ht="20.25" customHeight="1" thickBot="1" x14ac:dyDescent="0.25">
      <c r="A19" s="130"/>
      <c r="B19" s="59"/>
      <c r="C19" s="59" t="s">
        <v>17</v>
      </c>
      <c r="D19" s="118"/>
      <c r="E19" s="124"/>
      <c r="F19" s="96"/>
      <c r="G19" s="96"/>
      <c r="H19" s="102"/>
      <c r="I19" s="74"/>
      <c r="J19" s="106"/>
      <c r="K19" s="107"/>
      <c r="L19" s="97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52"/>
      <c r="AE19" s="26"/>
    </row>
    <row r="20" spans="1:33" ht="20.25" customHeight="1" x14ac:dyDescent="0.25">
      <c r="A20" s="130"/>
      <c r="B20" s="58">
        <f>J5</f>
        <v>0</v>
      </c>
      <c r="C20" s="58" t="s">
        <v>11</v>
      </c>
      <c r="D20" s="118"/>
      <c r="E20" s="125"/>
      <c r="F20" s="90"/>
      <c r="G20" s="90"/>
      <c r="H20" s="108"/>
      <c r="I20" s="78"/>
      <c r="J20" s="88"/>
      <c r="K20" s="104"/>
      <c r="L20" s="91"/>
      <c r="M20" s="92"/>
      <c r="N20" s="92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52"/>
      <c r="AE20" s="26"/>
    </row>
    <row r="21" spans="1:33" ht="20.25" customHeight="1" x14ac:dyDescent="0.25">
      <c r="A21" s="130"/>
      <c r="B21" s="58">
        <f>J6</f>
        <v>0</v>
      </c>
      <c r="C21" s="58" t="s">
        <v>14</v>
      </c>
      <c r="D21" s="118"/>
      <c r="E21" s="69"/>
      <c r="F21" s="70"/>
      <c r="G21" s="70"/>
      <c r="H21" s="69"/>
      <c r="I21" s="71"/>
      <c r="J21" s="73"/>
      <c r="K21" s="80"/>
      <c r="L21" s="68"/>
      <c r="M21" s="66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52"/>
      <c r="AE21" s="26"/>
    </row>
    <row r="22" spans="1:33" ht="20.25" customHeight="1" thickBot="1" x14ac:dyDescent="0.25">
      <c r="A22" s="130"/>
      <c r="B22" s="59"/>
      <c r="C22" s="59" t="s">
        <v>17</v>
      </c>
      <c r="D22" s="118"/>
      <c r="E22" s="126"/>
      <c r="F22" s="96"/>
      <c r="G22" s="96"/>
      <c r="H22" s="110"/>
      <c r="I22" s="102"/>
      <c r="J22" s="74"/>
      <c r="K22" s="111"/>
      <c r="L22" s="97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52"/>
      <c r="AE22" s="26"/>
    </row>
    <row r="23" spans="1:33" ht="19.5" customHeight="1" x14ac:dyDescent="0.25">
      <c r="A23" s="130"/>
      <c r="B23" s="58">
        <f>K5</f>
        <v>0</v>
      </c>
      <c r="C23" s="58" t="s">
        <v>11</v>
      </c>
      <c r="D23" s="118"/>
      <c r="E23" s="123"/>
      <c r="F23" s="91"/>
      <c r="G23" s="91"/>
      <c r="H23" s="91"/>
      <c r="I23" s="91"/>
      <c r="J23" s="81"/>
      <c r="K23" s="88"/>
      <c r="L23" s="109"/>
      <c r="M23" s="92"/>
      <c r="N23" s="92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36"/>
      <c r="AE23" s="26"/>
    </row>
    <row r="24" spans="1:33" ht="19.5" customHeight="1" x14ac:dyDescent="0.25">
      <c r="A24" s="130"/>
      <c r="B24" s="58">
        <f>K6</f>
        <v>0</v>
      </c>
      <c r="C24" s="58" t="s">
        <v>14</v>
      </c>
      <c r="D24" s="118"/>
      <c r="E24" s="69"/>
      <c r="F24" s="68"/>
      <c r="G24" s="68"/>
      <c r="H24" s="68"/>
      <c r="I24" s="68"/>
      <c r="J24" s="82"/>
      <c r="K24" s="73"/>
      <c r="L24" s="83"/>
      <c r="M24" s="66"/>
      <c r="N24" s="66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36"/>
      <c r="AE24" s="26"/>
    </row>
    <row r="25" spans="1:33" ht="19.5" customHeight="1" thickBot="1" x14ac:dyDescent="0.25">
      <c r="A25" s="130"/>
      <c r="B25" s="59"/>
      <c r="C25" s="59" t="s">
        <v>17</v>
      </c>
      <c r="D25" s="107"/>
      <c r="E25" s="124"/>
      <c r="F25" s="97"/>
      <c r="G25" s="97"/>
      <c r="H25" s="97"/>
      <c r="I25" s="97"/>
      <c r="J25" s="113"/>
      <c r="K25" s="74"/>
      <c r="L25" s="114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63"/>
      <c r="AE25" s="26"/>
    </row>
    <row r="26" spans="1:33" ht="19.5" customHeight="1" x14ac:dyDescent="0.2">
      <c r="A26" s="130"/>
      <c r="B26" s="58">
        <f>L5</f>
        <v>0</v>
      </c>
      <c r="C26" s="58" t="s">
        <v>11</v>
      </c>
      <c r="D26" s="101"/>
      <c r="E26" s="125"/>
      <c r="F26" s="91"/>
      <c r="G26" s="91"/>
      <c r="H26" s="91"/>
      <c r="I26" s="91"/>
      <c r="J26" s="91"/>
      <c r="K26" s="81"/>
      <c r="L26" s="88"/>
      <c r="M26" s="11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26"/>
      <c r="AE26" s="36"/>
    </row>
    <row r="27" spans="1:33" ht="19.5" customHeight="1" x14ac:dyDescent="0.25">
      <c r="A27" s="130"/>
      <c r="B27" s="58">
        <f>L6</f>
        <v>0</v>
      </c>
      <c r="C27" s="58" t="s">
        <v>14</v>
      </c>
      <c r="D27" s="65"/>
      <c r="E27" s="69"/>
      <c r="F27" s="68"/>
      <c r="G27" s="68"/>
      <c r="H27" s="68"/>
      <c r="I27" s="68"/>
      <c r="J27" s="68"/>
      <c r="K27" s="82"/>
      <c r="L27" s="73"/>
      <c r="M27" s="84"/>
      <c r="N27" s="6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26"/>
      <c r="AE27" s="36"/>
    </row>
    <row r="28" spans="1:33" ht="19.5" customHeight="1" thickBot="1" x14ac:dyDescent="0.25">
      <c r="A28" s="130"/>
      <c r="B28" s="59"/>
      <c r="C28" s="59" t="s">
        <v>17</v>
      </c>
      <c r="D28" s="107"/>
      <c r="E28" s="126"/>
      <c r="F28" s="97"/>
      <c r="G28" s="97"/>
      <c r="H28" s="97"/>
      <c r="I28" s="97"/>
      <c r="J28" s="97"/>
      <c r="K28" s="113"/>
      <c r="L28" s="74"/>
      <c r="M28" s="115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26"/>
      <c r="AE28" s="36"/>
    </row>
    <row r="29" spans="1:33" ht="19.5" customHeight="1" x14ac:dyDescent="0.25">
      <c r="A29" s="129">
        <v>4</v>
      </c>
      <c r="B29" s="58">
        <f>M5</f>
        <v>0</v>
      </c>
      <c r="C29" s="58" t="s">
        <v>11</v>
      </c>
      <c r="D29" s="101"/>
      <c r="E29" s="99"/>
      <c r="F29" s="91"/>
      <c r="G29" s="91"/>
      <c r="H29" s="91"/>
      <c r="I29" s="91"/>
      <c r="J29" s="91"/>
      <c r="K29" s="91"/>
      <c r="L29" s="81"/>
      <c r="M29" s="88"/>
      <c r="N29" s="112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26"/>
      <c r="AE29" s="26"/>
      <c r="AF29" s="36"/>
    </row>
    <row r="30" spans="1:33" ht="19.5" customHeight="1" x14ac:dyDescent="0.25">
      <c r="A30" s="130"/>
      <c r="B30" s="58">
        <f>M6</f>
        <v>0</v>
      </c>
      <c r="C30" s="58" t="s">
        <v>14</v>
      </c>
      <c r="D30" s="118"/>
      <c r="E30" s="69"/>
      <c r="F30" s="68"/>
      <c r="G30" s="68"/>
      <c r="H30" s="68"/>
      <c r="I30" s="68"/>
      <c r="J30" s="68"/>
      <c r="K30" s="68"/>
      <c r="L30" s="82"/>
      <c r="M30" s="73"/>
      <c r="N30" s="84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26"/>
      <c r="AE30" s="26"/>
      <c r="AF30" s="36"/>
    </row>
    <row r="31" spans="1:33" ht="19.5" customHeight="1" thickBot="1" x14ac:dyDescent="0.25">
      <c r="A31" s="130"/>
      <c r="B31" s="59"/>
      <c r="C31" s="59" t="s">
        <v>17</v>
      </c>
      <c r="D31" s="119"/>
      <c r="E31" s="127"/>
      <c r="F31" s="97"/>
      <c r="G31" s="97"/>
      <c r="H31" s="97"/>
      <c r="I31" s="97"/>
      <c r="J31" s="97"/>
      <c r="K31" s="97"/>
      <c r="L31" s="113"/>
      <c r="M31" s="74"/>
      <c r="N31" s="115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26"/>
      <c r="AE31" s="26"/>
      <c r="AF31" s="36"/>
    </row>
    <row r="32" spans="1:33" ht="19.5" customHeight="1" x14ac:dyDescent="0.25">
      <c r="A32" s="130"/>
      <c r="B32" s="58">
        <f>N5</f>
        <v>0</v>
      </c>
      <c r="C32" s="58" t="s">
        <v>11</v>
      </c>
      <c r="D32" s="117"/>
      <c r="E32" s="125"/>
      <c r="F32" s="91"/>
      <c r="G32" s="91"/>
      <c r="H32" s="91"/>
      <c r="I32" s="91"/>
      <c r="J32" s="91"/>
      <c r="K32" s="91"/>
      <c r="L32" s="91"/>
      <c r="M32" s="85"/>
      <c r="N32" s="88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26"/>
      <c r="AE32" s="26"/>
      <c r="AG32" s="36"/>
    </row>
    <row r="33" spans="1:33" ht="19.5" customHeight="1" x14ac:dyDescent="0.25">
      <c r="A33" s="130"/>
      <c r="B33" s="58">
        <f>N6</f>
        <v>0</v>
      </c>
      <c r="C33" s="58" t="s">
        <v>14</v>
      </c>
      <c r="D33" s="118"/>
      <c r="E33" s="69"/>
      <c r="F33" s="68"/>
      <c r="G33" s="68"/>
      <c r="H33" s="68"/>
      <c r="I33" s="68"/>
      <c r="J33" s="68"/>
      <c r="K33" s="68"/>
      <c r="L33" s="68"/>
      <c r="M33" s="86"/>
      <c r="N33" s="73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26"/>
      <c r="AE33" s="26"/>
      <c r="AG33" s="36"/>
    </row>
    <row r="34" spans="1:33" ht="19.5" customHeight="1" thickBot="1" x14ac:dyDescent="0.25">
      <c r="A34" s="130"/>
      <c r="B34" s="59"/>
      <c r="C34" s="59" t="s">
        <v>17</v>
      </c>
      <c r="D34" s="119"/>
      <c r="E34" s="126"/>
      <c r="F34" s="97"/>
      <c r="G34" s="97"/>
      <c r="H34" s="97"/>
      <c r="I34" s="97"/>
      <c r="J34" s="97"/>
      <c r="K34" s="97"/>
      <c r="L34" s="113"/>
      <c r="M34" s="97"/>
      <c r="N34" s="74"/>
      <c r="O34" s="115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</row>
    <row r="35" spans="1:33" ht="19.5" customHeight="1" x14ac:dyDescent="0.25">
      <c r="A35" s="130"/>
      <c r="B35" s="58">
        <f>O5</f>
        <v>0</v>
      </c>
      <c r="C35" s="58" t="s">
        <v>11</v>
      </c>
      <c r="D35" s="117"/>
      <c r="E35" s="99"/>
      <c r="F35" s="91"/>
      <c r="G35" s="91"/>
      <c r="H35" s="91"/>
      <c r="I35" s="91"/>
      <c r="J35" s="91"/>
      <c r="K35" s="91"/>
      <c r="L35" s="91"/>
      <c r="M35" s="85"/>
      <c r="N35" s="91"/>
      <c r="O35" s="88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33" ht="19.5" customHeight="1" x14ac:dyDescent="0.25">
      <c r="A36" s="130"/>
      <c r="B36" s="58">
        <f>O6</f>
        <v>0</v>
      </c>
      <c r="C36" s="58" t="s">
        <v>14</v>
      </c>
      <c r="D36" s="118"/>
      <c r="E36" s="69"/>
      <c r="F36" s="68"/>
      <c r="G36" s="68"/>
      <c r="H36" s="68"/>
      <c r="I36" s="68"/>
      <c r="J36" s="68"/>
      <c r="K36" s="68"/>
      <c r="L36" s="68"/>
      <c r="M36" s="86"/>
      <c r="N36" s="68"/>
      <c r="O36" s="73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spans="1:33" ht="19.5" customHeight="1" thickBot="1" x14ac:dyDescent="0.25">
      <c r="A37" s="130"/>
      <c r="B37" s="59"/>
      <c r="C37" s="59" t="s">
        <v>17</v>
      </c>
      <c r="D37" s="119"/>
      <c r="E37" s="127"/>
      <c r="F37" s="97"/>
      <c r="G37" s="97"/>
      <c r="H37" s="97"/>
      <c r="I37" s="97"/>
      <c r="J37" s="97"/>
      <c r="K37" s="97"/>
      <c r="L37" s="97"/>
      <c r="M37" s="97"/>
      <c r="N37" s="97"/>
      <c r="O37" s="74"/>
      <c r="P37" s="115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</row>
    <row r="38" spans="1:33" ht="19.5" customHeight="1" x14ac:dyDescent="0.25">
      <c r="A38" s="130"/>
      <c r="B38" s="58">
        <f>P5</f>
        <v>0</v>
      </c>
      <c r="C38" s="58" t="s">
        <v>11</v>
      </c>
      <c r="D38" s="117"/>
      <c r="E38" s="125"/>
      <c r="F38" s="91"/>
      <c r="G38" s="91"/>
      <c r="H38" s="91"/>
      <c r="I38" s="91"/>
      <c r="J38" s="91"/>
      <c r="K38" s="91"/>
      <c r="L38" s="91"/>
      <c r="M38" s="85"/>
      <c r="N38" s="91"/>
      <c r="O38" s="67"/>
      <c r="P38" s="88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33" ht="19.5" customHeight="1" x14ac:dyDescent="0.25">
      <c r="A39" s="130"/>
      <c r="B39" s="58">
        <f>P6</f>
        <v>0</v>
      </c>
      <c r="C39" s="58" t="s">
        <v>14</v>
      </c>
      <c r="D39" s="118"/>
      <c r="E39" s="69"/>
      <c r="F39" s="68"/>
      <c r="G39" s="68"/>
      <c r="H39" s="68"/>
      <c r="I39" s="68"/>
      <c r="J39" s="68"/>
      <c r="K39" s="68"/>
      <c r="L39" s="68"/>
      <c r="M39" s="86"/>
      <c r="N39" s="68"/>
      <c r="O39" s="67"/>
      <c r="P39" s="73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spans="1:33" ht="19.5" customHeight="1" thickBot="1" x14ac:dyDescent="0.25">
      <c r="A40" s="130"/>
      <c r="B40" s="59"/>
      <c r="C40" s="59" t="s">
        <v>17</v>
      </c>
      <c r="D40" s="119"/>
      <c r="E40" s="126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74"/>
      <c r="Q40" s="115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</row>
    <row r="41" spans="1:33" ht="19.5" customHeight="1" x14ac:dyDescent="0.25">
      <c r="A41" s="130"/>
      <c r="B41" s="58">
        <f>Q5</f>
        <v>0</v>
      </c>
      <c r="C41" s="58" t="s">
        <v>11</v>
      </c>
      <c r="D41" s="117"/>
      <c r="E41" s="99"/>
      <c r="F41" s="91"/>
      <c r="G41" s="91"/>
      <c r="H41" s="91"/>
      <c r="I41" s="91"/>
      <c r="J41" s="91"/>
      <c r="K41" s="91"/>
      <c r="L41" s="91"/>
      <c r="M41" s="85"/>
      <c r="N41" s="91"/>
      <c r="O41" s="67"/>
      <c r="P41" s="67"/>
      <c r="Q41" s="88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spans="1:33" ht="19.5" customHeight="1" x14ac:dyDescent="0.25">
      <c r="A42" s="130"/>
      <c r="B42" s="58">
        <f>Q6</f>
        <v>0</v>
      </c>
      <c r="C42" s="58" t="s">
        <v>14</v>
      </c>
      <c r="D42" s="118"/>
      <c r="E42" s="69"/>
      <c r="F42" s="68"/>
      <c r="G42" s="68"/>
      <c r="H42" s="68"/>
      <c r="I42" s="68"/>
      <c r="J42" s="68"/>
      <c r="K42" s="68"/>
      <c r="L42" s="68"/>
      <c r="M42" s="86"/>
      <c r="N42" s="68"/>
      <c r="O42" s="67"/>
      <c r="P42" s="67"/>
      <c r="Q42" s="73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spans="1:33" ht="19.5" customHeight="1" thickBot="1" x14ac:dyDescent="0.25">
      <c r="A43" s="130"/>
      <c r="B43" s="59"/>
      <c r="C43" s="59" t="s">
        <v>17</v>
      </c>
      <c r="D43" s="119"/>
      <c r="E43" s="12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74"/>
      <c r="R43" s="115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</row>
    <row r="44" spans="1:33" ht="19.5" customHeight="1" x14ac:dyDescent="0.25">
      <c r="A44" s="130"/>
      <c r="B44" s="58">
        <f>R5</f>
        <v>0</v>
      </c>
      <c r="C44" s="58" t="s">
        <v>11</v>
      </c>
      <c r="D44" s="117"/>
      <c r="E44" s="125"/>
      <c r="F44" s="91"/>
      <c r="G44" s="91"/>
      <c r="H44" s="91"/>
      <c r="I44" s="91"/>
      <c r="J44" s="91"/>
      <c r="K44" s="91"/>
      <c r="L44" s="91"/>
      <c r="M44" s="85"/>
      <c r="N44" s="91"/>
      <c r="O44" s="67"/>
      <c r="P44" s="67"/>
      <c r="Q44" s="67"/>
      <c r="R44" s="88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spans="1:33" ht="19.5" customHeight="1" x14ac:dyDescent="0.25">
      <c r="A45" s="130"/>
      <c r="B45" s="58">
        <f>R6</f>
        <v>0</v>
      </c>
      <c r="C45" s="58" t="s">
        <v>14</v>
      </c>
      <c r="D45" s="118"/>
      <c r="E45" s="69"/>
      <c r="F45" s="68"/>
      <c r="G45" s="68"/>
      <c r="H45" s="68"/>
      <c r="I45" s="68"/>
      <c r="J45" s="68"/>
      <c r="K45" s="68"/>
      <c r="L45" s="68"/>
      <c r="M45" s="86"/>
      <c r="N45" s="68"/>
      <c r="O45" s="67"/>
      <c r="P45" s="67"/>
      <c r="Q45" s="67"/>
      <c r="R45" s="73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spans="1:33" ht="19.5" customHeight="1" thickBot="1" x14ac:dyDescent="0.25">
      <c r="A46" s="130"/>
      <c r="B46" s="59"/>
      <c r="C46" s="59" t="s">
        <v>17</v>
      </c>
      <c r="D46" s="119"/>
      <c r="E46" s="126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74"/>
      <c r="S46" s="115"/>
      <c r="T46" s="97"/>
      <c r="U46" s="97"/>
      <c r="V46" s="97"/>
      <c r="W46" s="97"/>
      <c r="X46" s="97"/>
      <c r="Y46" s="97"/>
      <c r="Z46" s="97"/>
      <c r="AA46" s="97"/>
      <c r="AB46" s="97"/>
      <c r="AC46" s="97"/>
    </row>
    <row r="47" spans="1:33" ht="19.5" customHeight="1" x14ac:dyDescent="0.25">
      <c r="A47" s="130"/>
      <c r="B47" s="58">
        <f>S5</f>
        <v>0</v>
      </c>
      <c r="C47" s="58" t="s">
        <v>11</v>
      </c>
      <c r="D47" s="117"/>
      <c r="E47" s="99"/>
      <c r="F47" s="91"/>
      <c r="G47" s="91"/>
      <c r="H47" s="91"/>
      <c r="I47" s="91"/>
      <c r="J47" s="91"/>
      <c r="K47" s="91"/>
      <c r="L47" s="91"/>
      <c r="M47" s="85"/>
      <c r="N47" s="91"/>
      <c r="O47" s="67"/>
      <c r="P47" s="67"/>
      <c r="Q47" s="67"/>
      <c r="R47" s="67"/>
      <c r="S47" s="88"/>
      <c r="T47" s="67"/>
      <c r="U47" s="67"/>
      <c r="V47" s="67"/>
      <c r="W47" s="67"/>
      <c r="X47" s="67"/>
      <c r="Y47" s="67"/>
      <c r="Z47" s="67"/>
      <c r="AA47" s="67"/>
      <c r="AB47" s="67"/>
      <c r="AC47" s="67"/>
    </row>
    <row r="48" spans="1:33" ht="19.5" customHeight="1" x14ac:dyDescent="0.25">
      <c r="A48" s="130"/>
      <c r="B48" s="58">
        <f>S6</f>
        <v>0</v>
      </c>
      <c r="C48" s="58" t="s">
        <v>14</v>
      </c>
      <c r="D48" s="118"/>
      <c r="E48" s="69"/>
      <c r="F48" s="68"/>
      <c r="G48" s="68"/>
      <c r="H48" s="68"/>
      <c r="I48" s="68"/>
      <c r="J48" s="68"/>
      <c r="K48" s="68"/>
      <c r="L48" s="68"/>
      <c r="M48" s="86"/>
      <c r="N48" s="68"/>
      <c r="O48" s="67"/>
      <c r="P48" s="67"/>
      <c r="Q48" s="67"/>
      <c r="R48" s="67"/>
      <c r="S48" s="73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 spans="1:29" ht="19.5" customHeight="1" thickBot="1" x14ac:dyDescent="0.25">
      <c r="A49" s="130"/>
      <c r="B49" s="59"/>
      <c r="C49" s="59" t="s">
        <v>17</v>
      </c>
      <c r="D49" s="119"/>
      <c r="E49" s="12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74"/>
      <c r="T49" s="115"/>
      <c r="U49" s="97"/>
      <c r="V49" s="97"/>
      <c r="W49" s="97"/>
      <c r="X49" s="97"/>
      <c r="Y49" s="97"/>
      <c r="Z49" s="97"/>
      <c r="AA49" s="97"/>
      <c r="AB49" s="97"/>
      <c r="AC49" s="97"/>
    </row>
    <row r="50" spans="1:29" ht="19.5" customHeight="1" x14ac:dyDescent="0.25">
      <c r="A50" s="130"/>
      <c r="B50" s="58">
        <f>T5</f>
        <v>0</v>
      </c>
      <c r="C50" s="58" t="s">
        <v>11</v>
      </c>
      <c r="D50" s="117"/>
      <c r="E50" s="125"/>
      <c r="F50" s="91"/>
      <c r="G50" s="91"/>
      <c r="H50" s="91"/>
      <c r="I50" s="91"/>
      <c r="J50" s="91"/>
      <c r="K50" s="91"/>
      <c r="L50" s="91"/>
      <c r="M50" s="85"/>
      <c r="N50" s="91"/>
      <c r="O50" s="67"/>
      <c r="P50" s="67"/>
      <c r="Q50" s="67"/>
      <c r="R50" s="67"/>
      <c r="S50" s="67"/>
      <c r="T50" s="88"/>
      <c r="U50" s="67"/>
      <c r="V50" s="67"/>
      <c r="W50" s="67"/>
      <c r="X50" s="67"/>
      <c r="Y50" s="67"/>
      <c r="Z50" s="67"/>
      <c r="AA50" s="67"/>
      <c r="AB50" s="67"/>
      <c r="AC50" s="67"/>
    </row>
    <row r="51" spans="1:29" ht="19.5" customHeight="1" x14ac:dyDescent="0.25">
      <c r="A51" s="130"/>
      <c r="B51" s="58">
        <f>T6</f>
        <v>0</v>
      </c>
      <c r="C51" s="58" t="s">
        <v>14</v>
      </c>
      <c r="D51" s="118"/>
      <c r="E51" s="69"/>
      <c r="F51" s="68"/>
      <c r="G51" s="68"/>
      <c r="H51" s="68"/>
      <c r="I51" s="68"/>
      <c r="J51" s="68"/>
      <c r="K51" s="68"/>
      <c r="L51" s="68"/>
      <c r="M51" s="86"/>
      <c r="N51" s="68"/>
      <c r="O51" s="67"/>
      <c r="P51" s="67"/>
      <c r="Q51" s="67"/>
      <c r="R51" s="67"/>
      <c r="S51" s="67"/>
      <c r="T51" s="73"/>
      <c r="U51" s="67"/>
      <c r="V51" s="67"/>
      <c r="W51" s="67"/>
      <c r="X51" s="67"/>
      <c r="Y51" s="67"/>
      <c r="Z51" s="67"/>
      <c r="AA51" s="67"/>
      <c r="AB51" s="67"/>
      <c r="AC51" s="67"/>
    </row>
    <row r="52" spans="1:29" ht="19.5" customHeight="1" thickBot="1" x14ac:dyDescent="0.25">
      <c r="A52" s="130"/>
      <c r="B52" s="59"/>
      <c r="C52" s="59" t="s">
        <v>17</v>
      </c>
      <c r="D52" s="119"/>
      <c r="E52" s="126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74"/>
      <c r="U52" s="115"/>
      <c r="V52" s="97"/>
      <c r="W52" s="97"/>
      <c r="X52" s="97"/>
      <c r="Y52" s="97"/>
      <c r="Z52" s="97"/>
      <c r="AA52" s="97"/>
      <c r="AB52" s="97"/>
      <c r="AC52" s="97"/>
    </row>
    <row r="53" spans="1:29" ht="19.5" customHeight="1" x14ac:dyDescent="0.25">
      <c r="A53" s="130"/>
      <c r="B53" s="58">
        <f>U5</f>
        <v>0</v>
      </c>
      <c r="C53" s="58" t="s">
        <v>11</v>
      </c>
      <c r="D53" s="117"/>
      <c r="E53" s="99"/>
      <c r="F53" s="91"/>
      <c r="G53" s="91"/>
      <c r="H53" s="91"/>
      <c r="I53" s="91"/>
      <c r="J53" s="91"/>
      <c r="K53" s="91"/>
      <c r="L53" s="91"/>
      <c r="M53" s="85"/>
      <c r="N53" s="91"/>
      <c r="O53" s="67"/>
      <c r="P53" s="67"/>
      <c r="Q53" s="67"/>
      <c r="R53" s="67"/>
      <c r="S53" s="67"/>
      <c r="T53" s="67"/>
      <c r="U53" s="88"/>
      <c r="V53" s="67"/>
      <c r="W53" s="67"/>
      <c r="X53" s="67"/>
      <c r="Y53" s="67"/>
      <c r="Z53" s="67"/>
      <c r="AA53" s="67"/>
      <c r="AB53" s="67"/>
      <c r="AC53" s="67"/>
    </row>
    <row r="54" spans="1:29" ht="19.5" customHeight="1" x14ac:dyDescent="0.25">
      <c r="A54" s="130"/>
      <c r="B54" s="58">
        <f>U6</f>
        <v>0</v>
      </c>
      <c r="C54" s="58" t="s">
        <v>14</v>
      </c>
      <c r="D54" s="118"/>
      <c r="E54" s="69"/>
      <c r="F54" s="68"/>
      <c r="G54" s="68"/>
      <c r="H54" s="68"/>
      <c r="I54" s="68"/>
      <c r="J54" s="68"/>
      <c r="K54" s="68"/>
      <c r="L54" s="68"/>
      <c r="M54" s="86"/>
      <c r="N54" s="68"/>
      <c r="O54" s="67"/>
      <c r="P54" s="67"/>
      <c r="Q54" s="67"/>
      <c r="R54" s="67"/>
      <c r="S54" s="67"/>
      <c r="T54" s="67"/>
      <c r="U54" s="73"/>
      <c r="V54" s="67"/>
      <c r="W54" s="67"/>
      <c r="X54" s="67"/>
      <c r="Y54" s="67"/>
      <c r="Z54" s="67"/>
      <c r="AA54" s="67"/>
      <c r="AB54" s="67"/>
      <c r="AC54" s="67"/>
    </row>
    <row r="55" spans="1:29" ht="19.5" customHeight="1" thickBot="1" x14ac:dyDescent="0.25">
      <c r="A55" s="130"/>
      <c r="B55" s="59"/>
      <c r="C55" s="59" t="s">
        <v>17</v>
      </c>
      <c r="D55" s="119"/>
      <c r="E55" s="12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74"/>
      <c r="V55" s="115"/>
      <c r="W55" s="97"/>
      <c r="X55" s="97"/>
      <c r="Y55" s="97"/>
      <c r="Z55" s="97"/>
      <c r="AA55" s="97"/>
      <c r="AB55" s="97"/>
      <c r="AC55" s="97"/>
    </row>
    <row r="56" spans="1:29" ht="19.5" customHeight="1" x14ac:dyDescent="0.25">
      <c r="A56" s="130"/>
      <c r="B56" s="58">
        <f>V5</f>
        <v>0</v>
      </c>
      <c r="C56" s="58" t="s">
        <v>11</v>
      </c>
      <c r="D56" s="117"/>
      <c r="E56" s="125"/>
      <c r="F56" s="91"/>
      <c r="G56" s="91"/>
      <c r="H56" s="91"/>
      <c r="I56" s="91"/>
      <c r="J56" s="91"/>
      <c r="K56" s="91"/>
      <c r="L56" s="91"/>
      <c r="M56" s="85"/>
      <c r="N56" s="91"/>
      <c r="O56" s="67"/>
      <c r="P56" s="67"/>
      <c r="Q56" s="67"/>
      <c r="R56" s="67"/>
      <c r="S56" s="67"/>
      <c r="T56" s="67"/>
      <c r="U56" s="67"/>
      <c r="V56" s="88"/>
      <c r="W56" s="67"/>
      <c r="X56" s="67"/>
      <c r="Y56" s="67"/>
      <c r="Z56" s="67"/>
      <c r="AA56" s="67"/>
      <c r="AB56" s="67"/>
      <c r="AC56" s="67"/>
    </row>
    <row r="57" spans="1:29" ht="19.5" customHeight="1" x14ac:dyDescent="0.25">
      <c r="A57" s="130"/>
      <c r="B57" s="58">
        <f>V6</f>
        <v>0</v>
      </c>
      <c r="C57" s="58" t="s">
        <v>14</v>
      </c>
      <c r="D57" s="118"/>
      <c r="E57" s="69"/>
      <c r="F57" s="68"/>
      <c r="G57" s="68"/>
      <c r="H57" s="68"/>
      <c r="I57" s="68"/>
      <c r="J57" s="68"/>
      <c r="K57" s="68"/>
      <c r="L57" s="68"/>
      <c r="M57" s="86"/>
      <c r="N57" s="68"/>
      <c r="O57" s="67"/>
      <c r="P57" s="67"/>
      <c r="Q57" s="67"/>
      <c r="R57" s="67"/>
      <c r="S57" s="67"/>
      <c r="T57" s="67"/>
      <c r="U57" s="67"/>
      <c r="V57" s="73"/>
      <c r="W57" s="67"/>
      <c r="X57" s="67"/>
      <c r="Y57" s="67"/>
      <c r="Z57" s="67"/>
      <c r="AA57" s="67"/>
      <c r="AB57" s="67"/>
      <c r="AC57" s="67"/>
    </row>
    <row r="58" spans="1:29" ht="19.5" customHeight="1" thickBot="1" x14ac:dyDescent="0.25">
      <c r="A58" s="130"/>
      <c r="B58" s="59"/>
      <c r="C58" s="59" t="s">
        <v>17</v>
      </c>
      <c r="D58" s="119"/>
      <c r="E58" s="126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74"/>
      <c r="W58" s="115"/>
      <c r="X58" s="97"/>
      <c r="Y58" s="97"/>
      <c r="Z58" s="97"/>
      <c r="AA58" s="97"/>
      <c r="AB58" s="97"/>
      <c r="AC58" s="97"/>
    </row>
    <row r="59" spans="1:29" ht="19.5" customHeight="1" x14ac:dyDescent="0.25">
      <c r="A59" s="130"/>
      <c r="B59" s="58">
        <f>W5</f>
        <v>0</v>
      </c>
      <c r="C59" s="58" t="s">
        <v>11</v>
      </c>
      <c r="D59" s="117"/>
      <c r="E59" s="99"/>
      <c r="F59" s="91"/>
      <c r="G59" s="91"/>
      <c r="H59" s="91"/>
      <c r="I59" s="91"/>
      <c r="J59" s="91"/>
      <c r="K59" s="91"/>
      <c r="L59" s="91"/>
      <c r="M59" s="85"/>
      <c r="N59" s="91"/>
      <c r="O59" s="67"/>
      <c r="P59" s="67"/>
      <c r="Q59" s="67"/>
      <c r="R59" s="67"/>
      <c r="S59" s="67"/>
      <c r="T59" s="67"/>
      <c r="U59" s="67"/>
      <c r="V59" s="67"/>
      <c r="W59" s="88"/>
      <c r="X59" s="67"/>
      <c r="Y59" s="67"/>
      <c r="Z59" s="67"/>
      <c r="AA59" s="67"/>
      <c r="AB59" s="67"/>
      <c r="AC59" s="67"/>
    </row>
    <row r="60" spans="1:29" ht="19.5" customHeight="1" x14ac:dyDescent="0.25">
      <c r="A60" s="130"/>
      <c r="B60" s="58">
        <f>W6</f>
        <v>0</v>
      </c>
      <c r="C60" s="58" t="s">
        <v>14</v>
      </c>
      <c r="D60" s="118"/>
      <c r="E60" s="69"/>
      <c r="F60" s="68"/>
      <c r="G60" s="68"/>
      <c r="H60" s="68"/>
      <c r="I60" s="68"/>
      <c r="J60" s="68"/>
      <c r="K60" s="68"/>
      <c r="L60" s="68"/>
      <c r="M60" s="86"/>
      <c r="N60" s="68"/>
      <c r="O60" s="67"/>
      <c r="P60" s="67"/>
      <c r="Q60" s="67"/>
      <c r="R60" s="67"/>
      <c r="S60" s="67"/>
      <c r="T60" s="67"/>
      <c r="U60" s="67"/>
      <c r="V60" s="67"/>
      <c r="W60" s="73"/>
      <c r="X60" s="67"/>
      <c r="Y60" s="67"/>
      <c r="Z60" s="67"/>
      <c r="AA60" s="67"/>
      <c r="AB60" s="67"/>
      <c r="AC60" s="67"/>
    </row>
    <row r="61" spans="1:29" ht="19.5" customHeight="1" thickBot="1" x14ac:dyDescent="0.25">
      <c r="A61" s="130"/>
      <c r="B61" s="59"/>
      <c r="C61" s="59" t="s">
        <v>17</v>
      </c>
      <c r="D61" s="119"/>
      <c r="E61" s="12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74"/>
      <c r="X61" s="115"/>
      <c r="Y61" s="97"/>
      <c r="Z61" s="97"/>
      <c r="AA61" s="97"/>
      <c r="AB61" s="97"/>
      <c r="AC61" s="97"/>
    </row>
    <row r="62" spans="1:29" ht="19.5" customHeight="1" x14ac:dyDescent="0.25">
      <c r="A62" s="130"/>
      <c r="B62" s="58">
        <f>X5</f>
        <v>0</v>
      </c>
      <c r="C62" s="58" t="s">
        <v>11</v>
      </c>
      <c r="D62" s="117"/>
      <c r="E62" s="125"/>
      <c r="F62" s="91"/>
      <c r="G62" s="91"/>
      <c r="H62" s="91"/>
      <c r="I62" s="91"/>
      <c r="J62" s="91"/>
      <c r="K62" s="91"/>
      <c r="L62" s="91"/>
      <c r="M62" s="85"/>
      <c r="N62" s="91"/>
      <c r="O62" s="67"/>
      <c r="P62" s="67"/>
      <c r="Q62" s="67"/>
      <c r="R62" s="67"/>
      <c r="S62" s="67"/>
      <c r="T62" s="67"/>
      <c r="U62" s="67"/>
      <c r="V62" s="67"/>
      <c r="W62" s="67"/>
      <c r="X62" s="88"/>
      <c r="Y62" s="67"/>
      <c r="Z62" s="67"/>
      <c r="AA62" s="67"/>
      <c r="AB62" s="67"/>
      <c r="AC62" s="67"/>
    </row>
    <row r="63" spans="1:29" ht="19.5" customHeight="1" x14ac:dyDescent="0.25">
      <c r="A63" s="130"/>
      <c r="B63" s="58">
        <f>X6</f>
        <v>0</v>
      </c>
      <c r="C63" s="58" t="s">
        <v>14</v>
      </c>
      <c r="D63" s="118"/>
      <c r="E63" s="69"/>
      <c r="F63" s="68"/>
      <c r="G63" s="68"/>
      <c r="H63" s="68"/>
      <c r="I63" s="68"/>
      <c r="J63" s="68"/>
      <c r="K63" s="68"/>
      <c r="L63" s="68"/>
      <c r="M63" s="86"/>
      <c r="N63" s="68"/>
      <c r="O63" s="67"/>
      <c r="P63" s="67"/>
      <c r="Q63" s="67"/>
      <c r="R63" s="67"/>
      <c r="S63" s="67"/>
      <c r="T63" s="67"/>
      <c r="U63" s="67"/>
      <c r="V63" s="67"/>
      <c r="W63" s="67"/>
      <c r="X63" s="73"/>
      <c r="Y63" s="67"/>
      <c r="Z63" s="67"/>
      <c r="AA63" s="67"/>
      <c r="AB63" s="67"/>
      <c r="AC63" s="67"/>
    </row>
    <row r="64" spans="1:29" ht="19.5" customHeight="1" thickBot="1" x14ac:dyDescent="0.25">
      <c r="A64" s="130"/>
      <c r="B64" s="59"/>
      <c r="C64" s="59" t="s">
        <v>17</v>
      </c>
      <c r="D64" s="119"/>
      <c r="E64" s="126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74"/>
      <c r="Y64" s="115"/>
      <c r="Z64" s="97"/>
      <c r="AA64" s="97"/>
      <c r="AB64" s="97"/>
      <c r="AC64" s="97"/>
    </row>
    <row r="65" spans="1:29" ht="19.5" customHeight="1" x14ac:dyDescent="0.25">
      <c r="A65" s="130"/>
      <c r="B65" s="58">
        <f>Y5</f>
        <v>0</v>
      </c>
      <c r="C65" s="58" t="s">
        <v>11</v>
      </c>
      <c r="D65" s="117"/>
      <c r="E65" s="99"/>
      <c r="F65" s="91"/>
      <c r="G65" s="91"/>
      <c r="H65" s="91"/>
      <c r="I65" s="91"/>
      <c r="J65" s="91"/>
      <c r="K65" s="91"/>
      <c r="L65" s="91"/>
      <c r="M65" s="85"/>
      <c r="N65" s="91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88"/>
      <c r="Z65" s="67"/>
      <c r="AA65" s="67"/>
      <c r="AB65" s="67"/>
      <c r="AC65" s="67"/>
    </row>
    <row r="66" spans="1:29" ht="19.5" customHeight="1" x14ac:dyDescent="0.25">
      <c r="A66" s="130"/>
      <c r="B66" s="58">
        <f>Y6</f>
        <v>0</v>
      </c>
      <c r="C66" s="58" t="s">
        <v>14</v>
      </c>
      <c r="D66" s="118"/>
      <c r="E66" s="69"/>
      <c r="F66" s="68"/>
      <c r="G66" s="68"/>
      <c r="H66" s="68"/>
      <c r="I66" s="68"/>
      <c r="J66" s="68"/>
      <c r="K66" s="68"/>
      <c r="L66" s="68"/>
      <c r="M66" s="86"/>
      <c r="N66" s="68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67"/>
      <c r="AA66" s="67"/>
      <c r="AB66" s="67"/>
      <c r="AC66" s="67"/>
    </row>
    <row r="67" spans="1:29" ht="19.5" customHeight="1" thickBot="1" x14ac:dyDescent="0.25">
      <c r="A67" s="130"/>
      <c r="B67" s="59"/>
      <c r="C67" s="59" t="s">
        <v>17</v>
      </c>
      <c r="D67" s="119"/>
      <c r="E67" s="12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74"/>
      <c r="Z67" s="115"/>
      <c r="AA67" s="97"/>
      <c r="AB67" s="97"/>
      <c r="AC67" s="97"/>
    </row>
    <row r="68" spans="1:29" ht="19.5" customHeight="1" x14ac:dyDescent="0.25">
      <c r="A68" s="130"/>
      <c r="B68" s="58">
        <f>Z5</f>
        <v>0</v>
      </c>
      <c r="C68" s="58" t="s">
        <v>11</v>
      </c>
      <c r="D68" s="117"/>
      <c r="E68" s="125"/>
      <c r="F68" s="91"/>
      <c r="G68" s="91"/>
      <c r="H68" s="91"/>
      <c r="I68" s="91"/>
      <c r="J68" s="91"/>
      <c r="K68" s="91"/>
      <c r="L68" s="91"/>
      <c r="M68" s="85"/>
      <c r="N68" s="91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88"/>
      <c r="AA68" s="67"/>
      <c r="AB68" s="67"/>
      <c r="AC68" s="67"/>
    </row>
    <row r="69" spans="1:29" ht="19.5" customHeight="1" x14ac:dyDescent="0.25">
      <c r="A69" s="130"/>
      <c r="B69" s="58">
        <f>Z6</f>
        <v>0</v>
      </c>
      <c r="C69" s="58" t="s">
        <v>14</v>
      </c>
      <c r="D69" s="118"/>
      <c r="E69" s="69"/>
      <c r="F69" s="68"/>
      <c r="G69" s="68"/>
      <c r="H69" s="68"/>
      <c r="I69" s="68"/>
      <c r="J69" s="68"/>
      <c r="K69" s="68"/>
      <c r="L69" s="68"/>
      <c r="M69" s="86"/>
      <c r="N69" s="68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73"/>
      <c r="AA69" s="67"/>
      <c r="AB69" s="67"/>
      <c r="AC69" s="67"/>
    </row>
    <row r="70" spans="1:29" ht="19.5" customHeight="1" thickBot="1" x14ac:dyDescent="0.25">
      <c r="A70" s="130"/>
      <c r="B70" s="59"/>
      <c r="C70" s="59" t="s">
        <v>17</v>
      </c>
      <c r="D70" s="119"/>
      <c r="E70" s="126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74"/>
      <c r="AA70" s="115"/>
      <c r="AB70" s="97"/>
      <c r="AC70" s="97"/>
    </row>
    <row r="71" spans="1:29" ht="19.5" customHeight="1" x14ac:dyDescent="0.25">
      <c r="A71" s="130"/>
      <c r="B71" s="58">
        <f>AA5</f>
        <v>0</v>
      </c>
      <c r="C71" s="58" t="s">
        <v>11</v>
      </c>
      <c r="D71" s="117"/>
      <c r="E71" s="99"/>
      <c r="F71" s="91"/>
      <c r="G71" s="91"/>
      <c r="H71" s="91"/>
      <c r="I71" s="91"/>
      <c r="J71" s="91"/>
      <c r="K71" s="91"/>
      <c r="L71" s="91"/>
      <c r="M71" s="85"/>
      <c r="N71" s="91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88"/>
      <c r="AB71" s="67"/>
      <c r="AC71" s="67"/>
    </row>
    <row r="72" spans="1:29" ht="19.5" customHeight="1" x14ac:dyDescent="0.25">
      <c r="A72" s="130"/>
      <c r="B72" s="58">
        <f>AA6</f>
        <v>0</v>
      </c>
      <c r="C72" s="58" t="s">
        <v>14</v>
      </c>
      <c r="D72" s="118"/>
      <c r="E72" s="69"/>
      <c r="F72" s="68"/>
      <c r="G72" s="68"/>
      <c r="H72" s="68"/>
      <c r="I72" s="68"/>
      <c r="J72" s="68"/>
      <c r="K72" s="68"/>
      <c r="L72" s="68"/>
      <c r="M72" s="86"/>
      <c r="N72" s="68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73"/>
      <c r="AB72" s="67"/>
      <c r="AC72" s="67"/>
    </row>
    <row r="73" spans="1:29" ht="19.5" customHeight="1" thickBot="1" x14ac:dyDescent="0.25">
      <c r="A73" s="130"/>
      <c r="B73" s="59"/>
      <c r="C73" s="59" t="s">
        <v>17</v>
      </c>
      <c r="D73" s="119"/>
      <c r="E73" s="12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74"/>
      <c r="AB73" s="115"/>
      <c r="AC73" s="97"/>
    </row>
    <row r="74" spans="1:29" ht="19.5" customHeight="1" x14ac:dyDescent="0.25">
      <c r="A74" s="130"/>
      <c r="B74" s="58">
        <f>AB5</f>
        <v>0</v>
      </c>
      <c r="C74" s="58" t="s">
        <v>11</v>
      </c>
      <c r="D74" s="117"/>
      <c r="E74" s="125"/>
      <c r="F74" s="91"/>
      <c r="G74" s="91"/>
      <c r="H74" s="91"/>
      <c r="I74" s="91"/>
      <c r="J74" s="91"/>
      <c r="K74" s="91"/>
      <c r="L74" s="91"/>
      <c r="M74" s="85"/>
      <c r="N74" s="91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88"/>
      <c r="AC74" s="67"/>
    </row>
    <row r="75" spans="1:29" ht="19.5" customHeight="1" x14ac:dyDescent="0.25">
      <c r="A75" s="130"/>
      <c r="B75" s="58">
        <f>AB6</f>
        <v>0</v>
      </c>
      <c r="C75" s="58" t="s">
        <v>14</v>
      </c>
      <c r="D75" s="118"/>
      <c r="E75" s="69"/>
      <c r="F75" s="68"/>
      <c r="G75" s="68"/>
      <c r="H75" s="68"/>
      <c r="I75" s="68"/>
      <c r="J75" s="68"/>
      <c r="K75" s="68"/>
      <c r="L75" s="68"/>
      <c r="M75" s="86"/>
      <c r="N75" s="68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73"/>
      <c r="AC75" s="67"/>
    </row>
    <row r="76" spans="1:29" ht="19.5" customHeight="1" thickBot="1" x14ac:dyDescent="0.25">
      <c r="A76" s="130"/>
      <c r="B76" s="59"/>
      <c r="C76" s="59" t="s">
        <v>17</v>
      </c>
      <c r="D76" s="119"/>
      <c r="E76" s="126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74"/>
      <c r="AC76" s="115"/>
    </row>
    <row r="77" spans="1:29" ht="19.5" customHeight="1" x14ac:dyDescent="0.25">
      <c r="A77" s="130"/>
      <c r="B77" s="58">
        <f>AC5</f>
        <v>0</v>
      </c>
      <c r="C77" s="58" t="s">
        <v>11</v>
      </c>
      <c r="D77" s="117"/>
      <c r="E77" s="108"/>
      <c r="F77" s="91"/>
      <c r="G77" s="91"/>
      <c r="H77" s="91"/>
      <c r="I77" s="91"/>
      <c r="J77" s="91"/>
      <c r="K77" s="91"/>
      <c r="L77" s="91"/>
      <c r="M77" s="85"/>
      <c r="N77" s="91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88"/>
    </row>
    <row r="78" spans="1:29" ht="19.5" customHeight="1" x14ac:dyDescent="0.25">
      <c r="B78" s="58">
        <f>AC6</f>
        <v>0</v>
      </c>
      <c r="C78" s="58" t="s">
        <v>14</v>
      </c>
      <c r="D78" s="118"/>
      <c r="E78" s="69"/>
      <c r="F78" s="68"/>
      <c r="G78" s="68"/>
      <c r="H78" s="68"/>
      <c r="I78" s="68"/>
      <c r="J78" s="68"/>
      <c r="K78" s="68"/>
      <c r="L78" s="68"/>
      <c r="M78" s="86"/>
      <c r="N78" s="68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73"/>
    </row>
    <row r="79" spans="1:29" ht="19.5" customHeight="1" thickBot="1" x14ac:dyDescent="0.3">
      <c r="B79" s="59"/>
      <c r="C79" s="59" t="s">
        <v>17</v>
      </c>
      <c r="D79" s="119"/>
      <c r="E79" s="110"/>
      <c r="F79" s="68"/>
      <c r="G79" s="68"/>
      <c r="H79" s="68"/>
      <c r="I79" s="68"/>
      <c r="J79" s="68"/>
      <c r="K79" s="68"/>
      <c r="L79" s="68"/>
      <c r="M79" s="86"/>
      <c r="N79" s="68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74"/>
    </row>
    <row r="80" spans="1:29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</sheetData>
  <mergeCells count="4">
    <mergeCell ref="A29:A77"/>
    <mergeCell ref="A8:A28"/>
    <mergeCell ref="F3:H3"/>
    <mergeCell ref="D2:J2"/>
  </mergeCells>
  <pageMargins left="0.70866141732283472" right="0.70866141732283472" top="0" bottom="0" header="0.31496062992125978" footer="0.31496062992125978"/>
  <pageSetup paperSize="9" scale="36" fitToWidth="2" orientation="portrait" useFirstPageNumber="1" r:id="rId1"/>
  <rowBreaks count="1" manualBreakCount="1">
    <brk id="5" max="16383" man="1"/>
  </rowBreaks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CP72"/>
  <sheetViews>
    <sheetView showOutlineSymbols="0" defaultGridColor="0" view="pageBreakPreview" topLeftCell="A43" colorId="21" zoomScale="85" zoomScaleNormal="70" zoomScaleSheetLayoutView="85" workbookViewId="0">
      <selection activeCell="N21" sqref="N21"/>
    </sheetView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27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0</v>
      </c>
      <c r="F8" s="53" t="s">
        <v>33</v>
      </c>
      <c r="G8" s="5">
        <v>0</v>
      </c>
      <c r="H8" s="53" t="s">
        <v>34</v>
      </c>
      <c r="I8" s="6">
        <v>0</v>
      </c>
      <c r="J8" s="54" t="s">
        <v>34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0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0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0</v>
      </c>
      <c r="F20" s="15" t="s">
        <v>33</v>
      </c>
      <c r="G20" s="11">
        <v>0</v>
      </c>
      <c r="H20" s="53" t="s">
        <v>34</v>
      </c>
      <c r="I20" s="16">
        <v>0</v>
      </c>
      <c r="J20" s="53" t="s">
        <v>34</v>
      </c>
      <c r="K20" s="7">
        <v>0</v>
      </c>
      <c r="L20" s="53" t="s">
        <v>34</v>
      </c>
      <c r="M20" s="12">
        <f>G20+I20</f>
        <v>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0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0</v>
      </c>
      <c r="J28" s="53" t="s">
        <v>49</v>
      </c>
      <c r="K28" s="12">
        <f>J5</f>
        <v>1</v>
      </c>
      <c r="L28" s="53" t="s">
        <v>33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0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0</v>
      </c>
      <c r="J30" s="53" t="s">
        <v>49</v>
      </c>
      <c r="K30" s="12">
        <f>J5</f>
        <v>1</v>
      </c>
      <c r="L30" s="53" t="s">
        <v>33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0</v>
      </c>
      <c r="J31" s="53" t="s">
        <v>49</v>
      </c>
      <c r="K31" s="12">
        <f>J5</f>
        <v>1</v>
      </c>
      <c r="L31" s="53" t="s">
        <v>33</v>
      </c>
      <c r="M31" s="54">
        <f t="shared" si="0"/>
        <v>0</v>
      </c>
      <c r="N31" s="34">
        <v>338</v>
      </c>
      <c r="O31" s="47"/>
      <c r="P31" s="47"/>
      <c r="Q31" s="14">
        <f>PRODUCT(M31)/N31</f>
        <v>0</v>
      </c>
      <c r="R31" s="51" t="s">
        <v>51</v>
      </c>
      <c r="S31" s="62">
        <f>ROUNDUP(Q31, 0)</f>
        <v>0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0</v>
      </c>
      <c r="J32" s="53" t="s">
        <v>49</v>
      </c>
      <c r="K32" s="12">
        <f>J5</f>
        <v>1</v>
      </c>
      <c r="L32" s="53" t="s">
        <v>33</v>
      </c>
      <c r="M32" s="54">
        <f t="shared" si="0"/>
        <v>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0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0</v>
      </c>
      <c r="N38" s="51"/>
      <c r="O38" s="51"/>
      <c r="P38" s="51"/>
      <c r="Q38" s="12">
        <f>M38</f>
        <v>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0</v>
      </c>
      <c r="J42" s="53" t="s">
        <v>49</v>
      </c>
      <c r="K42" s="12">
        <f>J5</f>
        <v>1</v>
      </c>
      <c r="L42" s="53" t="s">
        <v>33</v>
      </c>
      <c r="M42" s="54">
        <f t="shared" si="1"/>
        <v>0</v>
      </c>
      <c r="N42" s="51"/>
      <c r="O42" s="51"/>
      <c r="P42" s="51"/>
      <c r="Q42" s="12">
        <f>PRODUCT(20,M42)</f>
        <v>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0</v>
      </c>
      <c r="J43" s="53" t="s">
        <v>49</v>
      </c>
      <c r="K43" s="12">
        <f>J5</f>
        <v>1</v>
      </c>
      <c r="L43" s="53" t="s">
        <v>33</v>
      </c>
      <c r="M43" s="18">
        <f t="shared" si="1"/>
        <v>0</v>
      </c>
      <c r="N43" s="53"/>
      <c r="O43" s="51"/>
      <c r="P43" s="51"/>
      <c r="Q43" s="12">
        <f>M43</f>
        <v>0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0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0</v>
      </c>
      <c r="N49" s="54"/>
      <c r="O49" s="51"/>
      <c r="P49" s="51"/>
      <c r="Q49" s="12">
        <f t="shared" ref="Q49:Q54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0</v>
      </c>
      <c r="J50" s="53" t="s">
        <v>49</v>
      </c>
      <c r="K50" s="12">
        <f>J5</f>
        <v>1</v>
      </c>
      <c r="L50" s="53" t="s">
        <v>33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0</v>
      </c>
      <c r="J51" s="53" t="s">
        <v>49</v>
      </c>
      <c r="K51" s="12">
        <f>J5</f>
        <v>1</v>
      </c>
      <c r="L51" s="53" t="s">
        <v>33</v>
      </c>
      <c r="M51" s="54">
        <f t="shared" si="2"/>
        <v>0</v>
      </c>
      <c r="N51" s="54"/>
      <c r="O51" s="51"/>
      <c r="P51" s="51"/>
      <c r="Q51" s="12">
        <f t="shared" si="3"/>
        <v>0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0</v>
      </c>
      <c r="J52" s="53" t="s">
        <v>49</v>
      </c>
      <c r="K52" s="12">
        <f>J5</f>
        <v>1</v>
      </c>
      <c r="L52" s="53" t="s">
        <v>33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0</v>
      </c>
      <c r="J53" s="53" t="s">
        <v>49</v>
      </c>
      <c r="K53" s="12">
        <f>J5</f>
        <v>1</v>
      </c>
      <c r="L53" s="53" t="s">
        <v>33</v>
      </c>
      <c r="M53" s="54">
        <f t="shared" si="2"/>
        <v>0</v>
      </c>
      <c r="N53" s="54"/>
      <c r="O53" s="51"/>
      <c r="P53" s="51"/>
      <c r="Q53" s="12">
        <f t="shared" si="3"/>
        <v>0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0</v>
      </c>
      <c r="J54" s="53" t="s">
        <v>49</v>
      </c>
      <c r="K54" s="12">
        <f>J5</f>
        <v>1</v>
      </c>
      <c r="L54" s="53" t="s">
        <v>33</v>
      </c>
      <c r="M54" s="54">
        <f t="shared" si="2"/>
        <v>0</v>
      </c>
      <c r="N54" s="54"/>
      <c r="O54" s="51"/>
      <c r="P54" s="51"/>
      <c r="Q54" s="12">
        <f t="shared" si="3"/>
        <v>0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0</v>
      </c>
      <c r="J55" s="53" t="s">
        <v>49</v>
      </c>
      <c r="K55" s="12">
        <f>J5</f>
        <v>1</v>
      </c>
      <c r="L55" s="53" t="s">
        <v>33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0</v>
      </c>
      <c r="J56" s="53" t="s">
        <v>49</v>
      </c>
      <c r="K56" s="12">
        <f>J5</f>
        <v>1</v>
      </c>
      <c r="L56" s="53" t="s">
        <v>33</v>
      </c>
      <c r="M56" s="54">
        <f t="shared" si="2"/>
        <v>0</v>
      </c>
      <c r="N56" s="51"/>
      <c r="O56" s="51"/>
      <c r="P56" s="51"/>
      <c r="Q56" s="12">
        <f>M56</f>
        <v>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0</v>
      </c>
      <c r="J57" s="53" t="s">
        <v>49</v>
      </c>
      <c r="K57" s="12">
        <f>J5</f>
        <v>1</v>
      </c>
      <c r="L57" s="53" t="s">
        <v>33</v>
      </c>
      <c r="M57" s="54">
        <f t="shared" si="2"/>
        <v>0</v>
      </c>
      <c r="N57" s="51"/>
      <c r="O57" s="51"/>
      <c r="P57" s="51"/>
      <c r="Q57" s="12">
        <f>PRODUCT(30,M57)</f>
        <v>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0</v>
      </c>
      <c r="J63" s="53" t="s">
        <v>49</v>
      </c>
      <c r="K63" s="12">
        <f>J5</f>
        <v>1</v>
      </c>
      <c r="L63" s="53" t="s">
        <v>33</v>
      </c>
      <c r="M63" s="54">
        <f>PRODUCT(G63,I63,K63)</f>
        <v>0</v>
      </c>
      <c r="P63" s="51"/>
      <c r="Q63" s="12">
        <f>M63</f>
        <v>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0</v>
      </c>
      <c r="J65" s="53" t="s">
        <v>49</v>
      </c>
      <c r="K65" s="12">
        <f>J5</f>
        <v>1</v>
      </c>
      <c r="L65" s="53" t="s">
        <v>33</v>
      </c>
      <c r="M65" s="14">
        <f>PRODUCT(G65,I65,K65)</f>
        <v>0</v>
      </c>
      <c r="N65" s="142"/>
      <c r="O65" s="133"/>
      <c r="P65" s="51"/>
      <c r="Q65" s="12">
        <f>M65</f>
        <v>0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 t="s">
        <v>70</v>
      </c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>
        <v>1</v>
      </c>
      <c r="R66" s="51" t="s">
        <v>71</v>
      </c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0</v>
      </c>
      <c r="J68" s="53" t="s">
        <v>49</v>
      </c>
      <c r="K68" s="12">
        <f>J5</f>
        <v>1</v>
      </c>
      <c r="L68" s="53" t="s">
        <v>33</v>
      </c>
      <c r="M68" s="54">
        <f>PRODUCT(G68,I68,K68)</f>
        <v>0</v>
      </c>
      <c r="N68" s="1"/>
      <c r="O68" s="1"/>
      <c r="P68" s="51"/>
      <c r="Q68" s="12">
        <f>M68</f>
        <v>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>
        <v>7</v>
      </c>
      <c r="D69" s="51" t="s">
        <v>75</v>
      </c>
      <c r="E69" s="51"/>
      <c r="F69" s="51"/>
      <c r="G69" s="12">
        <v>20</v>
      </c>
      <c r="H69" s="53" t="s">
        <v>49</v>
      </c>
      <c r="I69" s="12">
        <f>$E$22</f>
        <v>0</v>
      </c>
      <c r="J69" s="53" t="s">
        <v>49</v>
      </c>
      <c r="K69" s="12">
        <f>J5</f>
        <v>1</v>
      </c>
      <c r="L69" s="53" t="s">
        <v>33</v>
      </c>
      <c r="M69" s="54">
        <f>PRODUCT(G69,I69,K69)</f>
        <v>0</v>
      </c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0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 r:id="rId1"/>
  <colBreaks count="1" manualBreakCount="1">
    <brk id="20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CP72"/>
  <sheetViews>
    <sheetView topLeftCell="A43" workbookViewId="0">
      <selection activeCell="G70" sqref="G70"/>
    </sheetView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22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0</v>
      </c>
      <c r="F8" s="53" t="s">
        <v>33</v>
      </c>
      <c r="G8" s="5">
        <v>0</v>
      </c>
      <c r="H8" s="53" t="s">
        <v>34</v>
      </c>
      <c r="I8" s="6">
        <v>0</v>
      </c>
      <c r="J8" s="54" t="s">
        <v>34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5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5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5</v>
      </c>
      <c r="F20" s="15" t="s">
        <v>33</v>
      </c>
      <c r="G20" s="11">
        <v>0</v>
      </c>
      <c r="H20" s="53" t="s">
        <v>34</v>
      </c>
      <c r="I20" s="16">
        <v>0</v>
      </c>
      <c r="J20" s="53" t="s">
        <v>34</v>
      </c>
      <c r="K20" s="7">
        <v>5</v>
      </c>
      <c r="L20" s="53" t="s">
        <v>34</v>
      </c>
      <c r="M20" s="12">
        <f>G20+I20</f>
        <v>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10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0</v>
      </c>
      <c r="J28" s="53" t="s">
        <v>49</v>
      </c>
      <c r="K28" s="12">
        <f>J5</f>
        <v>1</v>
      </c>
      <c r="L28" s="53" t="s">
        <v>33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0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5</v>
      </c>
      <c r="J30" s="53" t="s">
        <v>49</v>
      </c>
      <c r="K30" s="12">
        <f>J5</f>
        <v>1</v>
      </c>
      <c r="L30" s="53" t="s">
        <v>33</v>
      </c>
      <c r="M30" s="54">
        <f t="shared" si="0"/>
        <v>450</v>
      </c>
      <c r="N30" s="54"/>
      <c r="O30" s="51"/>
      <c r="P30" s="51"/>
      <c r="Q30" s="12">
        <f>M30</f>
        <v>450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5</v>
      </c>
      <c r="J31" s="53" t="s">
        <v>49</v>
      </c>
      <c r="K31" s="12">
        <f>J5</f>
        <v>1</v>
      </c>
      <c r="L31" s="53" t="s">
        <v>33</v>
      </c>
      <c r="M31" s="54">
        <f t="shared" si="0"/>
        <v>500</v>
      </c>
      <c r="N31" s="34">
        <v>338</v>
      </c>
      <c r="O31" s="47"/>
      <c r="P31" s="47"/>
      <c r="Q31" s="14">
        <f>PRODUCT(M31)/N31</f>
        <v>1.4792899408284024</v>
      </c>
      <c r="R31" s="51" t="s">
        <v>51</v>
      </c>
      <c r="S31" s="62">
        <f>ROUNDUP(Q31, 0)</f>
        <v>2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5</v>
      </c>
      <c r="J32" s="53" t="s">
        <v>49</v>
      </c>
      <c r="K32" s="12">
        <f>J5</f>
        <v>1</v>
      </c>
      <c r="L32" s="53" t="s">
        <v>33</v>
      </c>
      <c r="M32" s="54">
        <f t="shared" si="0"/>
        <v>10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5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500</v>
      </c>
      <c r="N38" s="51"/>
      <c r="O38" s="51"/>
      <c r="P38" s="51"/>
      <c r="Q38" s="12">
        <f>M38</f>
        <v>500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5</v>
      </c>
      <c r="J42" s="53" t="s">
        <v>49</v>
      </c>
      <c r="K42" s="12">
        <f>J5</f>
        <v>1</v>
      </c>
      <c r="L42" s="53" t="s">
        <v>33</v>
      </c>
      <c r="M42" s="54">
        <f t="shared" si="1"/>
        <v>10</v>
      </c>
      <c r="N42" s="51"/>
      <c r="O42" s="51"/>
      <c r="P42" s="51"/>
      <c r="Q42" s="12">
        <f>PRODUCT(20,M42)</f>
        <v>200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5</v>
      </c>
      <c r="J43" s="53" t="s">
        <v>49</v>
      </c>
      <c r="K43" s="12">
        <f>J5</f>
        <v>1</v>
      </c>
      <c r="L43" s="53" t="s">
        <v>33</v>
      </c>
      <c r="M43" s="18">
        <f t="shared" si="1"/>
        <v>1.25</v>
      </c>
      <c r="N43" s="53"/>
      <c r="O43" s="51"/>
      <c r="P43" s="51"/>
      <c r="Q43" s="12">
        <f>M43</f>
        <v>1.25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0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0</v>
      </c>
      <c r="N49" s="54"/>
      <c r="O49" s="51"/>
      <c r="P49" s="51"/>
      <c r="Q49" s="12">
        <f t="shared" ref="Q49:Q54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0</v>
      </c>
      <c r="J50" s="53" t="s">
        <v>49</v>
      </c>
      <c r="K50" s="12">
        <f>J5</f>
        <v>1</v>
      </c>
      <c r="L50" s="53" t="s">
        <v>33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0</v>
      </c>
      <c r="J51" s="53" t="s">
        <v>49</v>
      </c>
      <c r="K51" s="12">
        <f>J5</f>
        <v>1</v>
      </c>
      <c r="L51" s="53" t="s">
        <v>33</v>
      </c>
      <c r="M51" s="54">
        <f t="shared" si="2"/>
        <v>0</v>
      </c>
      <c r="N51" s="54"/>
      <c r="O51" s="51"/>
      <c r="P51" s="51"/>
      <c r="Q51" s="12">
        <f t="shared" si="3"/>
        <v>0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0</v>
      </c>
      <c r="J52" s="53" t="s">
        <v>49</v>
      </c>
      <c r="K52" s="12">
        <f>J5</f>
        <v>1</v>
      </c>
      <c r="L52" s="53" t="s">
        <v>33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0</v>
      </c>
      <c r="J53" s="53" t="s">
        <v>49</v>
      </c>
      <c r="K53" s="12">
        <f>J5</f>
        <v>1</v>
      </c>
      <c r="L53" s="53" t="s">
        <v>33</v>
      </c>
      <c r="M53" s="54">
        <f t="shared" si="2"/>
        <v>0</v>
      </c>
      <c r="N53" s="54"/>
      <c r="O53" s="51"/>
      <c r="P53" s="51"/>
      <c r="Q53" s="12">
        <f t="shared" si="3"/>
        <v>0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0</v>
      </c>
      <c r="J54" s="53" t="s">
        <v>49</v>
      </c>
      <c r="K54" s="12">
        <f>J5</f>
        <v>1</v>
      </c>
      <c r="L54" s="53" t="s">
        <v>33</v>
      </c>
      <c r="M54" s="54">
        <f t="shared" si="2"/>
        <v>0</v>
      </c>
      <c r="N54" s="54"/>
      <c r="O54" s="51"/>
      <c r="P54" s="51"/>
      <c r="Q54" s="12">
        <f t="shared" si="3"/>
        <v>0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0</v>
      </c>
      <c r="J55" s="53" t="s">
        <v>49</v>
      </c>
      <c r="K55" s="12">
        <f>J5</f>
        <v>1</v>
      </c>
      <c r="L55" s="53" t="s">
        <v>33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0</v>
      </c>
      <c r="J56" s="53" t="s">
        <v>49</v>
      </c>
      <c r="K56" s="12">
        <f>J5</f>
        <v>1</v>
      </c>
      <c r="L56" s="53" t="s">
        <v>33</v>
      </c>
      <c r="M56" s="54">
        <f t="shared" si="2"/>
        <v>0</v>
      </c>
      <c r="N56" s="51"/>
      <c r="O56" s="51"/>
      <c r="P56" s="51"/>
      <c r="Q56" s="12">
        <f>M56</f>
        <v>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0</v>
      </c>
      <c r="J57" s="53" t="s">
        <v>49</v>
      </c>
      <c r="K57" s="12">
        <f>J5</f>
        <v>1</v>
      </c>
      <c r="L57" s="53" t="s">
        <v>33</v>
      </c>
      <c r="M57" s="54">
        <f t="shared" si="2"/>
        <v>0</v>
      </c>
      <c r="N57" s="51"/>
      <c r="O57" s="51"/>
      <c r="P57" s="51"/>
      <c r="Q57" s="12">
        <f>PRODUCT(30,M57)</f>
        <v>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10</v>
      </c>
      <c r="J63" s="53" t="s">
        <v>49</v>
      </c>
      <c r="K63" s="12">
        <f>J5</f>
        <v>1</v>
      </c>
      <c r="L63" s="53" t="s">
        <v>33</v>
      </c>
      <c r="M63" s="54">
        <f>PRODUCT(G63,I63,K63)</f>
        <v>250</v>
      </c>
      <c r="P63" s="51"/>
      <c r="Q63" s="12">
        <f>M63</f>
        <v>250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10</v>
      </c>
      <c r="J65" s="53" t="s">
        <v>49</v>
      </c>
      <c r="K65" s="12">
        <f>J5</f>
        <v>1</v>
      </c>
      <c r="L65" s="53" t="s">
        <v>33</v>
      </c>
      <c r="M65" s="14">
        <f>PRODUCT(G65,I65,K65)</f>
        <v>1.6</v>
      </c>
      <c r="N65" s="142"/>
      <c r="O65" s="133"/>
      <c r="P65" s="51"/>
      <c r="Q65" s="12">
        <f>M65</f>
        <v>1.6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/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/>
      <c r="R66" s="51"/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10</v>
      </c>
      <c r="J68" s="53" t="s">
        <v>49</v>
      </c>
      <c r="K68" s="12">
        <f>J5</f>
        <v>1</v>
      </c>
      <c r="L68" s="53" t="s">
        <v>33</v>
      </c>
      <c r="M68" s="54">
        <f>PRODUCT(G68,I68,K68)</f>
        <v>100</v>
      </c>
      <c r="N68" s="1"/>
      <c r="O68" s="1"/>
      <c r="P68" s="51"/>
      <c r="Q68" s="12">
        <f>M68</f>
        <v>100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/>
      <c r="D69" s="51"/>
      <c r="E69" s="51"/>
      <c r="F69" s="51"/>
      <c r="G69" s="12"/>
      <c r="H69" s="53"/>
      <c r="I69" s="12"/>
      <c r="J69" s="53"/>
      <c r="K69" s="12"/>
      <c r="L69" s="53"/>
      <c r="M69" s="54"/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2001.25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CP72"/>
  <sheetViews>
    <sheetView topLeftCell="A43" workbookViewId="0">
      <selection activeCell="D66" sqref="D66:S66"/>
    </sheetView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21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5</v>
      </c>
      <c r="F8" s="53" t="s">
        <v>33</v>
      </c>
      <c r="G8" s="5">
        <v>0</v>
      </c>
      <c r="H8" s="53" t="s">
        <v>34</v>
      </c>
      <c r="I8" s="6">
        <v>5</v>
      </c>
      <c r="J8" s="54" t="s">
        <v>34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0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0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5</v>
      </c>
      <c r="F20" s="15" t="s">
        <v>33</v>
      </c>
      <c r="G20" s="11">
        <v>0</v>
      </c>
      <c r="H20" s="53" t="s">
        <v>34</v>
      </c>
      <c r="I20" s="16">
        <v>5</v>
      </c>
      <c r="J20" s="53" t="s">
        <v>34</v>
      </c>
      <c r="K20" s="7">
        <v>0</v>
      </c>
      <c r="L20" s="53" t="s">
        <v>34</v>
      </c>
      <c r="M20" s="12">
        <f>G20+I20</f>
        <v>5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10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5</v>
      </c>
      <c r="J28" s="53" t="s">
        <v>49</v>
      </c>
      <c r="K28" s="12">
        <f>J5</f>
        <v>1</v>
      </c>
      <c r="L28" s="53" t="s">
        <v>33</v>
      </c>
      <c r="M28" s="54">
        <f t="shared" si="0"/>
        <v>450</v>
      </c>
      <c r="N28" s="54"/>
      <c r="O28" s="51"/>
      <c r="P28" s="51"/>
      <c r="Q28" s="12">
        <f>M28</f>
        <v>450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5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0</v>
      </c>
      <c r="J30" s="53" t="s">
        <v>49</v>
      </c>
      <c r="K30" s="12">
        <f>J5</f>
        <v>1</v>
      </c>
      <c r="L30" s="53" t="s">
        <v>33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5</v>
      </c>
      <c r="J31" s="53" t="s">
        <v>49</v>
      </c>
      <c r="K31" s="12">
        <f>J5</f>
        <v>1</v>
      </c>
      <c r="L31" s="53" t="s">
        <v>33</v>
      </c>
      <c r="M31" s="54">
        <f t="shared" si="0"/>
        <v>500</v>
      </c>
      <c r="N31" s="34">
        <v>338</v>
      </c>
      <c r="O31" s="47"/>
      <c r="P31" s="47"/>
      <c r="Q31" s="14">
        <f>PRODUCT(M31)/N31</f>
        <v>1.4792899408284024</v>
      </c>
      <c r="R31" s="51" t="s">
        <v>51</v>
      </c>
      <c r="S31" s="62">
        <f>ROUNDUP(Q31, 0)</f>
        <v>2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5</v>
      </c>
      <c r="J32" s="53" t="s">
        <v>49</v>
      </c>
      <c r="K32" s="12">
        <f>J5</f>
        <v>1</v>
      </c>
      <c r="L32" s="53" t="s">
        <v>33</v>
      </c>
      <c r="M32" s="54">
        <f t="shared" si="0"/>
        <v>10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0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0</v>
      </c>
      <c r="N38" s="51"/>
      <c r="O38" s="51"/>
      <c r="P38" s="51"/>
      <c r="Q38" s="12">
        <f>M38</f>
        <v>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0</v>
      </c>
      <c r="J42" s="53" t="s">
        <v>49</v>
      </c>
      <c r="K42" s="12">
        <f>J5</f>
        <v>1</v>
      </c>
      <c r="L42" s="53" t="s">
        <v>33</v>
      </c>
      <c r="M42" s="54">
        <f t="shared" si="1"/>
        <v>0</v>
      </c>
      <c r="N42" s="51"/>
      <c r="O42" s="51"/>
      <c r="P42" s="51"/>
      <c r="Q42" s="12">
        <f>PRODUCT(20,M42)</f>
        <v>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0</v>
      </c>
      <c r="J43" s="53" t="s">
        <v>49</v>
      </c>
      <c r="K43" s="12">
        <f>J5</f>
        <v>1</v>
      </c>
      <c r="L43" s="53" t="s">
        <v>33</v>
      </c>
      <c r="M43" s="18">
        <f t="shared" si="1"/>
        <v>0</v>
      </c>
      <c r="N43" s="53"/>
      <c r="O43" s="51"/>
      <c r="P43" s="51"/>
      <c r="Q43" s="12">
        <f>M43</f>
        <v>0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0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0</v>
      </c>
      <c r="N49" s="54"/>
      <c r="O49" s="51"/>
      <c r="P49" s="51"/>
      <c r="Q49" s="12">
        <f t="shared" ref="Q49:Q54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5</v>
      </c>
      <c r="J50" s="53" t="s">
        <v>49</v>
      </c>
      <c r="K50" s="12">
        <f>J5</f>
        <v>1</v>
      </c>
      <c r="L50" s="53" t="s">
        <v>33</v>
      </c>
      <c r="M50" s="54">
        <f t="shared" si="2"/>
        <v>400</v>
      </c>
      <c r="N50" s="54"/>
      <c r="O50" s="51"/>
      <c r="P50" s="51"/>
      <c r="Q50" s="12">
        <f t="shared" si="3"/>
        <v>400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5</v>
      </c>
      <c r="J51" s="53" t="s">
        <v>49</v>
      </c>
      <c r="K51" s="12">
        <f>J5</f>
        <v>1</v>
      </c>
      <c r="L51" s="53" t="s">
        <v>33</v>
      </c>
      <c r="M51" s="54">
        <f t="shared" si="2"/>
        <v>125</v>
      </c>
      <c r="N51" s="54"/>
      <c r="O51" s="51"/>
      <c r="P51" s="51"/>
      <c r="Q51" s="12">
        <f t="shared" si="3"/>
        <v>125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0</v>
      </c>
      <c r="J52" s="53" t="s">
        <v>49</v>
      </c>
      <c r="K52" s="12">
        <f>J5</f>
        <v>1</v>
      </c>
      <c r="L52" s="53" t="s">
        <v>33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5</v>
      </c>
      <c r="J53" s="53" t="s">
        <v>49</v>
      </c>
      <c r="K53" s="12">
        <f>J5</f>
        <v>1</v>
      </c>
      <c r="L53" s="53" t="s">
        <v>33</v>
      </c>
      <c r="M53" s="54">
        <f t="shared" si="2"/>
        <v>125</v>
      </c>
      <c r="N53" s="54"/>
      <c r="O53" s="51"/>
      <c r="P53" s="51"/>
      <c r="Q53" s="12">
        <f t="shared" si="3"/>
        <v>125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5</v>
      </c>
      <c r="J54" s="53" t="s">
        <v>49</v>
      </c>
      <c r="K54" s="12">
        <f>J5</f>
        <v>1</v>
      </c>
      <c r="L54" s="53" t="s">
        <v>33</v>
      </c>
      <c r="M54" s="54">
        <f t="shared" si="2"/>
        <v>125</v>
      </c>
      <c r="N54" s="54"/>
      <c r="O54" s="51"/>
      <c r="P54" s="51"/>
      <c r="Q54" s="12">
        <f t="shared" si="3"/>
        <v>125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0</v>
      </c>
      <c r="J55" s="53" t="s">
        <v>49</v>
      </c>
      <c r="K55" s="12">
        <f>J5</f>
        <v>1</v>
      </c>
      <c r="L55" s="53" t="s">
        <v>33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5</v>
      </c>
      <c r="J56" s="53" t="s">
        <v>49</v>
      </c>
      <c r="K56" s="12">
        <f>J5</f>
        <v>1</v>
      </c>
      <c r="L56" s="53" t="s">
        <v>33</v>
      </c>
      <c r="M56" s="54">
        <f t="shared" si="2"/>
        <v>200</v>
      </c>
      <c r="N56" s="51"/>
      <c r="O56" s="51"/>
      <c r="P56" s="51"/>
      <c r="Q56" s="12">
        <f>M56</f>
        <v>200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5</v>
      </c>
      <c r="J57" s="53" t="s">
        <v>49</v>
      </c>
      <c r="K57" s="12">
        <f>J5</f>
        <v>1</v>
      </c>
      <c r="L57" s="53" t="s">
        <v>33</v>
      </c>
      <c r="M57" s="54">
        <f t="shared" si="2"/>
        <v>10</v>
      </c>
      <c r="N57" s="51"/>
      <c r="O57" s="51"/>
      <c r="P57" s="51"/>
      <c r="Q57" s="12">
        <f>PRODUCT(30,M57)</f>
        <v>300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10</v>
      </c>
      <c r="J63" s="53" t="s">
        <v>49</v>
      </c>
      <c r="K63" s="12">
        <f>J5</f>
        <v>1</v>
      </c>
      <c r="L63" s="53" t="s">
        <v>33</v>
      </c>
      <c r="M63" s="54">
        <f>PRODUCT(G63,I63,K63)</f>
        <v>250</v>
      </c>
      <c r="P63" s="51"/>
      <c r="Q63" s="12">
        <f>M63</f>
        <v>250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10</v>
      </c>
      <c r="J65" s="53" t="s">
        <v>49</v>
      </c>
      <c r="K65" s="12">
        <f>J5</f>
        <v>1</v>
      </c>
      <c r="L65" s="53" t="s">
        <v>33</v>
      </c>
      <c r="M65" s="14">
        <f>PRODUCT(G65,I65,K65)</f>
        <v>1.6</v>
      </c>
      <c r="N65" s="142"/>
      <c r="O65" s="133"/>
      <c r="P65" s="51"/>
      <c r="Q65" s="12">
        <f>M65</f>
        <v>1.6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/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/>
      <c r="R66" s="51"/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10</v>
      </c>
      <c r="J68" s="53" t="s">
        <v>49</v>
      </c>
      <c r="K68" s="12">
        <f>J5</f>
        <v>1</v>
      </c>
      <c r="L68" s="53" t="s">
        <v>33</v>
      </c>
      <c r="M68" s="54">
        <f>PRODUCT(G68,I68,K68)</f>
        <v>100</v>
      </c>
      <c r="N68" s="1"/>
      <c r="O68" s="1"/>
      <c r="P68" s="51"/>
      <c r="Q68" s="12">
        <f>M68</f>
        <v>100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/>
      <c r="D69" s="51"/>
      <c r="E69" s="51"/>
      <c r="F69" s="51"/>
      <c r="G69" s="12"/>
      <c r="H69" s="53"/>
      <c r="I69" s="12"/>
      <c r="J69" s="53"/>
      <c r="K69" s="12"/>
      <c r="L69" s="53"/>
      <c r="M69" s="54"/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2575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CP72"/>
  <sheetViews>
    <sheetView topLeftCell="A43" workbookViewId="0">
      <selection activeCell="D66" sqref="D66:S66"/>
    </sheetView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13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0</v>
      </c>
      <c r="F8" s="53" t="s">
        <v>33</v>
      </c>
      <c r="G8" s="5">
        <v>0</v>
      </c>
      <c r="H8" s="53" t="s">
        <v>34</v>
      </c>
      <c r="I8" s="6">
        <v>0</v>
      </c>
      <c r="J8" s="54" t="s">
        <v>34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0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0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10</v>
      </c>
      <c r="F20" s="15" t="s">
        <v>33</v>
      </c>
      <c r="G20" s="11">
        <v>10</v>
      </c>
      <c r="H20" s="53" t="s">
        <v>34</v>
      </c>
      <c r="I20" s="16">
        <v>0</v>
      </c>
      <c r="J20" s="53" t="s">
        <v>34</v>
      </c>
      <c r="K20" s="7">
        <v>0</v>
      </c>
      <c r="L20" s="53" t="s">
        <v>34</v>
      </c>
      <c r="M20" s="12">
        <f>G20+I20</f>
        <v>10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10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10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900</v>
      </c>
      <c r="N27" s="54"/>
      <c r="O27" s="51"/>
      <c r="P27" s="51"/>
      <c r="Q27" s="12">
        <f>M27</f>
        <v>900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0</v>
      </c>
      <c r="J28" s="53" t="s">
        <v>49</v>
      </c>
      <c r="K28" s="12">
        <f>J5</f>
        <v>1</v>
      </c>
      <c r="L28" s="53" t="s">
        <v>33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10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0</v>
      </c>
      <c r="J30" s="53" t="s">
        <v>49</v>
      </c>
      <c r="K30" s="12">
        <f>J5</f>
        <v>1</v>
      </c>
      <c r="L30" s="53" t="s">
        <v>33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10</v>
      </c>
      <c r="J31" s="53" t="s">
        <v>49</v>
      </c>
      <c r="K31" s="12">
        <f>J5</f>
        <v>1</v>
      </c>
      <c r="L31" s="53" t="s">
        <v>33</v>
      </c>
      <c r="M31" s="54">
        <f t="shared" si="0"/>
        <v>1000</v>
      </c>
      <c r="N31" s="34">
        <v>338</v>
      </c>
      <c r="O31" s="47"/>
      <c r="P31" s="47"/>
      <c r="Q31" s="14">
        <f>PRODUCT(M31)/N31</f>
        <v>2.9585798816568047</v>
      </c>
      <c r="R31" s="51" t="s">
        <v>51</v>
      </c>
      <c r="S31" s="62">
        <f>ROUNDUP(Q31, 0)</f>
        <v>3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10</v>
      </c>
      <c r="J32" s="53" t="s">
        <v>49</v>
      </c>
      <c r="K32" s="12">
        <f>J5</f>
        <v>1</v>
      </c>
      <c r="L32" s="53" t="s">
        <v>33</v>
      </c>
      <c r="M32" s="54">
        <f t="shared" si="0"/>
        <v>20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0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0</v>
      </c>
      <c r="N38" s="51"/>
      <c r="O38" s="51"/>
      <c r="P38" s="51"/>
      <c r="Q38" s="12">
        <f>M38</f>
        <v>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0</v>
      </c>
      <c r="J42" s="53" t="s">
        <v>49</v>
      </c>
      <c r="K42" s="12">
        <f>J5</f>
        <v>1</v>
      </c>
      <c r="L42" s="53" t="s">
        <v>33</v>
      </c>
      <c r="M42" s="54">
        <f t="shared" si="1"/>
        <v>0</v>
      </c>
      <c r="N42" s="51"/>
      <c r="O42" s="51"/>
      <c r="P42" s="51"/>
      <c r="Q42" s="12">
        <f>PRODUCT(20,M42)</f>
        <v>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0</v>
      </c>
      <c r="J43" s="53" t="s">
        <v>49</v>
      </c>
      <c r="K43" s="12">
        <f>J5</f>
        <v>1</v>
      </c>
      <c r="L43" s="53" t="s">
        <v>33</v>
      </c>
      <c r="M43" s="18">
        <f t="shared" si="1"/>
        <v>0</v>
      </c>
      <c r="N43" s="53"/>
      <c r="O43" s="51"/>
      <c r="P43" s="51"/>
      <c r="Q43" s="12">
        <f>M43</f>
        <v>0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0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0</v>
      </c>
      <c r="N49" s="54"/>
      <c r="O49" s="51"/>
      <c r="P49" s="51"/>
      <c r="Q49" s="12">
        <f t="shared" ref="Q49:Q54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0</v>
      </c>
      <c r="J50" s="53" t="s">
        <v>49</v>
      </c>
      <c r="K50" s="12">
        <f>J5</f>
        <v>1</v>
      </c>
      <c r="L50" s="53" t="s">
        <v>33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0</v>
      </c>
      <c r="J51" s="53" t="s">
        <v>49</v>
      </c>
      <c r="K51" s="12">
        <f>J5</f>
        <v>1</v>
      </c>
      <c r="L51" s="53" t="s">
        <v>33</v>
      </c>
      <c r="M51" s="54">
        <f t="shared" si="2"/>
        <v>0</v>
      </c>
      <c r="N51" s="54"/>
      <c r="O51" s="51"/>
      <c r="P51" s="51"/>
      <c r="Q51" s="12">
        <f t="shared" si="3"/>
        <v>0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0</v>
      </c>
      <c r="J52" s="53" t="s">
        <v>49</v>
      </c>
      <c r="K52" s="12">
        <f>J5</f>
        <v>1</v>
      </c>
      <c r="L52" s="53" t="s">
        <v>33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0</v>
      </c>
      <c r="J53" s="53" t="s">
        <v>49</v>
      </c>
      <c r="K53" s="12">
        <f>J5</f>
        <v>1</v>
      </c>
      <c r="L53" s="53" t="s">
        <v>33</v>
      </c>
      <c r="M53" s="54">
        <f t="shared" si="2"/>
        <v>0</v>
      </c>
      <c r="N53" s="54"/>
      <c r="O53" s="51"/>
      <c r="P53" s="51"/>
      <c r="Q53" s="12">
        <f t="shared" si="3"/>
        <v>0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0</v>
      </c>
      <c r="J54" s="53" t="s">
        <v>49</v>
      </c>
      <c r="K54" s="12">
        <f>J5</f>
        <v>1</v>
      </c>
      <c r="L54" s="53" t="s">
        <v>33</v>
      </c>
      <c r="M54" s="54">
        <f t="shared" si="2"/>
        <v>0</v>
      </c>
      <c r="N54" s="54"/>
      <c r="O54" s="51"/>
      <c r="P54" s="51"/>
      <c r="Q54" s="12">
        <f t="shared" si="3"/>
        <v>0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0</v>
      </c>
      <c r="J55" s="53" t="s">
        <v>49</v>
      </c>
      <c r="K55" s="12">
        <f>J5</f>
        <v>1</v>
      </c>
      <c r="L55" s="53" t="s">
        <v>33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0</v>
      </c>
      <c r="J56" s="53" t="s">
        <v>49</v>
      </c>
      <c r="K56" s="12">
        <f>J5</f>
        <v>1</v>
      </c>
      <c r="L56" s="53" t="s">
        <v>33</v>
      </c>
      <c r="M56" s="54">
        <f t="shared" si="2"/>
        <v>0</v>
      </c>
      <c r="N56" s="51"/>
      <c r="O56" s="51"/>
      <c r="P56" s="51"/>
      <c r="Q56" s="12">
        <f>M56</f>
        <v>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0</v>
      </c>
      <c r="J57" s="53" t="s">
        <v>49</v>
      </c>
      <c r="K57" s="12">
        <f>J5</f>
        <v>1</v>
      </c>
      <c r="L57" s="53" t="s">
        <v>33</v>
      </c>
      <c r="M57" s="54">
        <f t="shared" si="2"/>
        <v>0</v>
      </c>
      <c r="N57" s="51"/>
      <c r="O57" s="51"/>
      <c r="P57" s="51"/>
      <c r="Q57" s="12">
        <f>PRODUCT(30,M57)</f>
        <v>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10</v>
      </c>
      <c r="J63" s="53" t="s">
        <v>49</v>
      </c>
      <c r="K63" s="12">
        <f>J5</f>
        <v>1</v>
      </c>
      <c r="L63" s="53" t="s">
        <v>33</v>
      </c>
      <c r="M63" s="54">
        <f>PRODUCT(G63,I63,K63)</f>
        <v>250</v>
      </c>
      <c r="P63" s="51"/>
      <c r="Q63" s="12">
        <f>M63</f>
        <v>250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10</v>
      </c>
      <c r="J65" s="53" t="s">
        <v>49</v>
      </c>
      <c r="K65" s="12">
        <f>J5</f>
        <v>1</v>
      </c>
      <c r="L65" s="53" t="s">
        <v>33</v>
      </c>
      <c r="M65" s="14">
        <f>PRODUCT(G65,I65,K65)</f>
        <v>1.6</v>
      </c>
      <c r="N65" s="142"/>
      <c r="O65" s="133"/>
      <c r="P65" s="51"/>
      <c r="Q65" s="12">
        <f>M65</f>
        <v>1.6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/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/>
      <c r="R66" s="51"/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10</v>
      </c>
      <c r="J68" s="53" t="s">
        <v>49</v>
      </c>
      <c r="K68" s="12">
        <f>J5</f>
        <v>1</v>
      </c>
      <c r="L68" s="53" t="s">
        <v>33</v>
      </c>
      <c r="M68" s="54">
        <f>PRODUCT(G68,I68,K68)</f>
        <v>100</v>
      </c>
      <c r="N68" s="1"/>
      <c r="O68" s="1"/>
      <c r="P68" s="51"/>
      <c r="Q68" s="12">
        <f>M68</f>
        <v>100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/>
      <c r="D69" s="51"/>
      <c r="E69" s="51"/>
      <c r="F69" s="51"/>
      <c r="G69" s="12"/>
      <c r="H69" s="53"/>
      <c r="I69" s="12"/>
      <c r="J69" s="53"/>
      <c r="K69" s="12"/>
      <c r="L69" s="53"/>
      <c r="M69" s="54"/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2250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CP72"/>
  <sheetViews>
    <sheetView topLeftCell="A19" workbookViewId="0"/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16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5</v>
      </c>
      <c r="F8" s="53" t="s">
        <v>33</v>
      </c>
      <c r="G8" s="5">
        <v>0</v>
      </c>
      <c r="H8" s="53" t="s">
        <v>34</v>
      </c>
      <c r="I8" s="6">
        <v>0</v>
      </c>
      <c r="J8" s="54" t="s">
        <v>34</v>
      </c>
      <c r="K8" s="60">
        <v>5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10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10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0</v>
      </c>
      <c r="F20" s="15" t="s">
        <v>33</v>
      </c>
      <c r="G20" s="11">
        <v>0</v>
      </c>
      <c r="H20" s="53" t="s">
        <v>34</v>
      </c>
      <c r="I20" s="16">
        <v>0</v>
      </c>
      <c r="J20" s="53" t="s">
        <v>34</v>
      </c>
      <c r="K20" s="7">
        <v>0</v>
      </c>
      <c r="L20" s="53" t="s">
        <v>34</v>
      </c>
      <c r="M20" s="12">
        <f>G20+I20</f>
        <v>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15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0</v>
      </c>
      <c r="J28" s="53" t="s">
        <v>49</v>
      </c>
      <c r="K28" s="12">
        <f>J5</f>
        <v>1</v>
      </c>
      <c r="L28" s="53" t="s">
        <v>33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0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0</v>
      </c>
      <c r="J30" s="53" t="s">
        <v>49</v>
      </c>
      <c r="K30" s="12">
        <f>J5</f>
        <v>1</v>
      </c>
      <c r="L30" s="53" t="s">
        <v>33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0</v>
      </c>
      <c r="J31" s="53" t="s">
        <v>49</v>
      </c>
      <c r="K31" s="12">
        <f>J5</f>
        <v>1</v>
      </c>
      <c r="L31" s="53" t="s">
        <v>33</v>
      </c>
      <c r="M31" s="54">
        <f t="shared" si="0"/>
        <v>0</v>
      </c>
      <c r="N31" s="34">
        <v>338</v>
      </c>
      <c r="O31" s="47"/>
      <c r="P31" s="47"/>
      <c r="Q31" s="14">
        <f>PRODUCT(M31)/N31</f>
        <v>0</v>
      </c>
      <c r="R31" s="51" t="s">
        <v>51</v>
      </c>
      <c r="S31" s="62">
        <f>ROUNDUP(Q31, 0)</f>
        <v>0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0</v>
      </c>
      <c r="J32" s="53" t="s">
        <v>49</v>
      </c>
      <c r="K32" s="12">
        <f>J5</f>
        <v>1</v>
      </c>
      <c r="L32" s="53" t="s">
        <v>33</v>
      </c>
      <c r="M32" s="54">
        <f t="shared" si="0"/>
        <v>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10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1000</v>
      </c>
      <c r="N38" s="51"/>
      <c r="O38" s="51"/>
      <c r="P38" s="51"/>
      <c r="Q38" s="12">
        <f>M38</f>
        <v>1000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10</v>
      </c>
      <c r="J42" s="53" t="s">
        <v>49</v>
      </c>
      <c r="K42" s="12">
        <f>J5</f>
        <v>1</v>
      </c>
      <c r="L42" s="53" t="s">
        <v>33</v>
      </c>
      <c r="M42" s="54">
        <f t="shared" si="1"/>
        <v>20</v>
      </c>
      <c r="N42" s="51"/>
      <c r="O42" s="51"/>
      <c r="P42" s="51"/>
      <c r="Q42" s="12">
        <f>PRODUCT(20,M42)</f>
        <v>400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10</v>
      </c>
      <c r="J43" s="53" t="s">
        <v>49</v>
      </c>
      <c r="K43" s="12">
        <f>J5</f>
        <v>1</v>
      </c>
      <c r="L43" s="53" t="s">
        <v>33</v>
      </c>
      <c r="M43" s="18">
        <f t="shared" si="1"/>
        <v>2.5</v>
      </c>
      <c r="N43" s="53"/>
      <c r="O43" s="51"/>
      <c r="P43" s="51"/>
      <c r="Q43" s="12">
        <f>M43</f>
        <v>2.5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0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0</v>
      </c>
      <c r="N49" s="54"/>
      <c r="O49" s="51"/>
      <c r="P49" s="51"/>
      <c r="Q49" s="12">
        <f t="shared" ref="Q49:Q54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0</v>
      </c>
      <c r="J50" s="53" t="s">
        <v>49</v>
      </c>
      <c r="K50" s="12">
        <f>J5</f>
        <v>1</v>
      </c>
      <c r="L50" s="53" t="s">
        <v>33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5</v>
      </c>
      <c r="J51" s="53" t="s">
        <v>49</v>
      </c>
      <c r="K51" s="12">
        <f>J5</f>
        <v>1</v>
      </c>
      <c r="L51" s="53" t="s">
        <v>33</v>
      </c>
      <c r="M51" s="54">
        <f t="shared" si="2"/>
        <v>125</v>
      </c>
      <c r="N51" s="54"/>
      <c r="O51" s="51"/>
      <c r="P51" s="51"/>
      <c r="Q51" s="12">
        <f t="shared" si="3"/>
        <v>125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5</v>
      </c>
      <c r="J52" s="53" t="s">
        <v>49</v>
      </c>
      <c r="K52" s="12">
        <f>J5</f>
        <v>1</v>
      </c>
      <c r="L52" s="53" t="s">
        <v>33</v>
      </c>
      <c r="M52" s="54">
        <f t="shared" si="2"/>
        <v>400</v>
      </c>
      <c r="N52" s="54"/>
      <c r="O52" s="51"/>
      <c r="P52" s="51"/>
      <c r="Q52" s="12">
        <f t="shared" si="3"/>
        <v>400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5</v>
      </c>
      <c r="J53" s="53" t="s">
        <v>49</v>
      </c>
      <c r="K53" s="12">
        <f>J5</f>
        <v>1</v>
      </c>
      <c r="L53" s="53" t="s">
        <v>33</v>
      </c>
      <c r="M53" s="54">
        <f t="shared" si="2"/>
        <v>125</v>
      </c>
      <c r="N53" s="54"/>
      <c r="O53" s="51"/>
      <c r="P53" s="51"/>
      <c r="Q53" s="12">
        <f t="shared" si="3"/>
        <v>125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5</v>
      </c>
      <c r="J54" s="53" t="s">
        <v>49</v>
      </c>
      <c r="K54" s="12">
        <f>J5</f>
        <v>1</v>
      </c>
      <c r="L54" s="53" t="s">
        <v>33</v>
      </c>
      <c r="M54" s="54">
        <f t="shared" si="2"/>
        <v>125</v>
      </c>
      <c r="N54" s="54"/>
      <c r="O54" s="51"/>
      <c r="P54" s="51"/>
      <c r="Q54" s="12">
        <f t="shared" si="3"/>
        <v>125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5</v>
      </c>
      <c r="J55" s="53" t="s">
        <v>49</v>
      </c>
      <c r="K55" s="12">
        <f>J5</f>
        <v>1</v>
      </c>
      <c r="L55" s="53" t="s">
        <v>33</v>
      </c>
      <c r="M55" s="54">
        <f t="shared" si="2"/>
        <v>125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5</v>
      </c>
      <c r="J56" s="53" t="s">
        <v>49</v>
      </c>
      <c r="K56" s="12">
        <f>J5</f>
        <v>1</v>
      </c>
      <c r="L56" s="53" t="s">
        <v>33</v>
      </c>
      <c r="M56" s="54">
        <f t="shared" si="2"/>
        <v>200</v>
      </c>
      <c r="N56" s="51"/>
      <c r="O56" s="51"/>
      <c r="P56" s="51"/>
      <c r="Q56" s="12">
        <f>M56</f>
        <v>200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5</v>
      </c>
      <c r="J57" s="53" t="s">
        <v>49</v>
      </c>
      <c r="K57" s="12">
        <f>J5</f>
        <v>1</v>
      </c>
      <c r="L57" s="53" t="s">
        <v>33</v>
      </c>
      <c r="M57" s="54">
        <f t="shared" si="2"/>
        <v>10</v>
      </c>
      <c r="N57" s="51"/>
      <c r="O57" s="51"/>
      <c r="P57" s="51"/>
      <c r="Q57" s="12">
        <f>PRODUCT(30,M57)</f>
        <v>300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15</v>
      </c>
      <c r="J63" s="53" t="s">
        <v>49</v>
      </c>
      <c r="K63" s="12">
        <f>J5</f>
        <v>1</v>
      </c>
      <c r="L63" s="53" t="s">
        <v>33</v>
      </c>
      <c r="M63" s="54">
        <f>PRODUCT(G63,I63,K63)</f>
        <v>375</v>
      </c>
      <c r="P63" s="51"/>
      <c r="Q63" s="12">
        <f>M63</f>
        <v>375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15</v>
      </c>
      <c r="J65" s="53" t="s">
        <v>49</v>
      </c>
      <c r="K65" s="12">
        <f>J5</f>
        <v>1</v>
      </c>
      <c r="L65" s="53" t="s">
        <v>33</v>
      </c>
      <c r="M65" s="14">
        <f>PRODUCT(G65,I65,K65)</f>
        <v>2.4</v>
      </c>
      <c r="N65" s="142"/>
      <c r="O65" s="133"/>
      <c r="P65" s="51"/>
      <c r="Q65" s="12">
        <f>M65</f>
        <v>2.4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 t="s">
        <v>70</v>
      </c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>
        <v>1</v>
      </c>
      <c r="R66" s="51" t="s">
        <v>71</v>
      </c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15</v>
      </c>
      <c r="J68" s="53" t="s">
        <v>49</v>
      </c>
      <c r="K68" s="12">
        <f>J5</f>
        <v>1</v>
      </c>
      <c r="L68" s="53" t="s">
        <v>33</v>
      </c>
      <c r="M68" s="54">
        <f>PRODUCT(G68,I68,K68)</f>
        <v>150</v>
      </c>
      <c r="N68" s="1"/>
      <c r="O68" s="1"/>
      <c r="P68" s="51"/>
      <c r="Q68" s="12">
        <f>M68</f>
        <v>150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>
        <v>7</v>
      </c>
      <c r="D69" s="51" t="s">
        <v>75</v>
      </c>
      <c r="E69" s="51"/>
      <c r="F69" s="51"/>
      <c r="G69" s="12">
        <v>20</v>
      </c>
      <c r="H69" s="53" t="s">
        <v>49</v>
      </c>
      <c r="I69" s="12">
        <f>$E$22</f>
        <v>15</v>
      </c>
      <c r="J69" s="53" t="s">
        <v>49</v>
      </c>
      <c r="K69" s="12">
        <f>J5</f>
        <v>1</v>
      </c>
      <c r="L69" s="53" t="s">
        <v>33</v>
      </c>
      <c r="M69" s="54">
        <f>PRODUCT(G69,I69,K69)</f>
        <v>300</v>
      </c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2802.5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CP72"/>
  <sheetViews>
    <sheetView tabSelected="1" workbookViewId="0">
      <selection activeCell="W61" sqref="W61"/>
    </sheetView>
  </sheetViews>
  <sheetFormatPr defaultColWidth="10.6640625" defaultRowHeight="12.75" customHeight="1" x14ac:dyDescent="0.2"/>
  <cols>
    <col min="1" max="2" width="7.83203125" style="116" customWidth="1"/>
    <col min="3" max="3" width="17.1640625" style="116" customWidth="1"/>
    <col min="4" max="5" width="10.1640625" style="116" customWidth="1"/>
    <col min="6" max="6" width="18.83203125" style="116" customWidth="1"/>
    <col min="7" max="7" width="10.1640625" style="116" customWidth="1"/>
    <col min="8" max="8" width="6.6640625" style="116" customWidth="1"/>
    <col min="9" max="9" width="10.1640625" style="116" customWidth="1"/>
    <col min="10" max="10" width="6.6640625" style="116" customWidth="1"/>
    <col min="11" max="11" width="10.1640625" style="116" customWidth="1"/>
    <col min="12" max="12" width="13" style="116" customWidth="1"/>
    <col min="13" max="13" width="10.1640625" style="116" customWidth="1"/>
    <col min="14" max="14" width="11" style="116" customWidth="1"/>
    <col min="15" max="15" width="9.6640625" style="116" customWidth="1"/>
    <col min="16" max="16" width="6.6640625" style="116" customWidth="1"/>
    <col min="17" max="17" width="17.1640625" style="116" customWidth="1"/>
    <col min="18" max="18" width="10.1640625" style="116" customWidth="1"/>
    <col min="19" max="19" width="7.83203125" style="116" customWidth="1"/>
    <col min="20" max="20" width="11.33203125" style="116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26</v>
      </c>
      <c r="E2" s="46"/>
      <c r="F2" s="46"/>
      <c r="G2" s="46"/>
      <c r="H2" s="22"/>
      <c r="I2" s="22" t="s">
        <v>19</v>
      </c>
      <c r="J2" s="22"/>
      <c r="K2" s="23"/>
      <c r="L2" s="23"/>
      <c r="M2" s="23"/>
      <c r="N2" s="23"/>
      <c r="O2" s="23"/>
      <c r="P2" s="23"/>
      <c r="Q2" s="52" t="s">
        <v>1</v>
      </c>
      <c r="R2" s="121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3" t="s">
        <v>28</v>
      </c>
      <c r="C5" s="133"/>
      <c r="D5" s="133"/>
      <c r="E5" s="133"/>
      <c r="F5" s="152"/>
      <c r="G5" s="133"/>
      <c r="H5" s="133"/>
      <c r="I5" s="153"/>
      <c r="J5" s="20">
        <v>1</v>
      </c>
      <c r="K5" s="150" t="s">
        <v>29</v>
      </c>
      <c r="L5" s="133"/>
      <c r="M5" s="133"/>
      <c r="N5" s="133"/>
      <c r="O5" s="142" t="s">
        <v>30</v>
      </c>
      <c r="P5" s="133"/>
      <c r="Q5" s="133"/>
      <c r="R5" s="133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18</v>
      </c>
      <c r="H7" s="51"/>
      <c r="I7" s="51" t="s">
        <v>24</v>
      </c>
      <c r="J7" s="51"/>
      <c r="K7" s="51" t="s">
        <v>31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4" t="s">
        <v>32</v>
      </c>
      <c r="D8" s="133"/>
      <c r="E8" s="12">
        <f>SUM(G8,I8,K8)</f>
        <v>5</v>
      </c>
      <c r="F8" s="53" t="s">
        <v>33</v>
      </c>
      <c r="G8" s="5">
        <v>5</v>
      </c>
      <c r="H8" s="53" t="s">
        <v>34</v>
      </c>
      <c r="I8" s="6">
        <v>0</v>
      </c>
      <c r="J8" s="54" t="s">
        <v>34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33"/>
      <c r="D9" s="133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36" t="s">
        <v>35</v>
      </c>
      <c r="D11" s="133"/>
      <c r="E11" s="37"/>
      <c r="F11" s="136" t="s">
        <v>36</v>
      </c>
      <c r="G11" s="133"/>
      <c r="H11" s="133"/>
      <c r="I11" s="133"/>
      <c r="J11" s="133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37</v>
      </c>
      <c r="H13" s="51"/>
      <c r="I13" s="43" t="s">
        <v>38</v>
      </c>
      <c r="J13" s="51"/>
      <c r="K13" s="51" t="s">
        <v>39</v>
      </c>
      <c r="L13" s="51"/>
      <c r="M13" s="51" t="s">
        <v>15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41" t="s">
        <v>40</v>
      </c>
      <c r="D14" s="133"/>
      <c r="E14" s="12">
        <f>SUM(G14,I14,K14,M14)</f>
        <v>5</v>
      </c>
      <c r="F14" s="53" t="s">
        <v>33</v>
      </c>
      <c r="G14" s="7">
        <v>0</v>
      </c>
      <c r="H14" s="53" t="s">
        <v>34</v>
      </c>
      <c r="I14" s="25">
        <v>0</v>
      </c>
      <c r="J14" s="53" t="s">
        <v>34</v>
      </c>
      <c r="K14" s="60">
        <v>0</v>
      </c>
      <c r="L14" s="54" t="s">
        <v>34</v>
      </c>
      <c r="M14" s="128">
        <v>5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36" t="s">
        <v>35</v>
      </c>
      <c r="D17" s="133"/>
      <c r="E17" s="37"/>
      <c r="F17" s="136" t="s">
        <v>36</v>
      </c>
      <c r="G17" s="133"/>
      <c r="H17" s="133"/>
      <c r="I17" s="133"/>
      <c r="J17" s="133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12</v>
      </c>
      <c r="H19" s="51"/>
      <c r="I19" s="43" t="s">
        <v>20</v>
      </c>
      <c r="J19" s="51"/>
      <c r="K19" s="51" t="s">
        <v>25</v>
      </c>
      <c r="L19" s="51"/>
      <c r="M19" s="51" t="s">
        <v>41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45" t="s">
        <v>42</v>
      </c>
      <c r="D20" s="133"/>
      <c r="E20" s="12">
        <f>SUM(G20,I20,K20)</f>
        <v>0</v>
      </c>
      <c r="F20" s="15" t="s">
        <v>33</v>
      </c>
      <c r="G20" s="11">
        <v>0</v>
      </c>
      <c r="H20" s="53" t="s">
        <v>34</v>
      </c>
      <c r="I20" s="16">
        <v>0</v>
      </c>
      <c r="J20" s="53" t="s">
        <v>34</v>
      </c>
      <c r="K20" s="7">
        <v>0</v>
      </c>
      <c r="L20" s="53" t="s">
        <v>34</v>
      </c>
      <c r="M20" s="12">
        <f>G20+I20</f>
        <v>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43</v>
      </c>
      <c r="D22" s="51"/>
      <c r="E22" s="12">
        <f>SUM(E8,E14,E20)</f>
        <v>10</v>
      </c>
      <c r="F22" s="53"/>
      <c r="G22" s="12"/>
      <c r="H22" s="53"/>
      <c r="I22" s="147" t="s">
        <v>3</v>
      </c>
      <c r="J22" s="133"/>
      <c r="K22" s="140" t="s">
        <v>44</v>
      </c>
      <c r="L22" s="13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47" t="s">
        <v>45</v>
      </c>
      <c r="J23" s="133"/>
      <c r="K23" s="147" t="s">
        <v>46</v>
      </c>
      <c r="L23" s="133"/>
      <c r="M23" s="133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40"/>
      <c r="L24" s="133"/>
      <c r="M24" s="51"/>
      <c r="N24" s="51"/>
      <c r="O24" s="51"/>
      <c r="P24" s="51"/>
      <c r="Q24" s="136" t="s">
        <v>47</v>
      </c>
      <c r="R24" s="133"/>
      <c r="S24" s="133"/>
      <c r="T24" s="51" t="s">
        <v>48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11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35" t="s">
        <v>12</v>
      </c>
      <c r="E27" s="133"/>
      <c r="F27" s="133"/>
      <c r="G27" s="12">
        <v>90</v>
      </c>
      <c r="H27" s="53" t="s">
        <v>49</v>
      </c>
      <c r="I27" s="28">
        <f>G20</f>
        <v>0</v>
      </c>
      <c r="J27" s="53" t="s">
        <v>49</v>
      </c>
      <c r="K27" s="12">
        <f>J5</f>
        <v>1</v>
      </c>
      <c r="L27" s="53" t="s">
        <v>33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6" t="s">
        <v>20</v>
      </c>
      <c r="E28" s="133"/>
      <c r="F28" s="133"/>
      <c r="G28" s="12">
        <v>90</v>
      </c>
      <c r="H28" s="53" t="s">
        <v>49</v>
      </c>
      <c r="I28" s="45">
        <f>I20</f>
        <v>0</v>
      </c>
      <c r="J28" s="53" t="s">
        <v>49</v>
      </c>
      <c r="K28" s="12">
        <f>J5</f>
        <v>1</v>
      </c>
      <c r="L28" s="53" t="s">
        <v>33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41</v>
      </c>
      <c r="E29" s="51"/>
      <c r="F29" s="51"/>
      <c r="G29" s="12">
        <v>0</v>
      </c>
      <c r="H29" s="53" t="s">
        <v>49</v>
      </c>
      <c r="I29" s="29">
        <f>M20</f>
        <v>0</v>
      </c>
      <c r="J29" s="53" t="s">
        <v>49</v>
      </c>
      <c r="K29" s="12">
        <f>J5</f>
        <v>1</v>
      </c>
      <c r="L29" s="53" t="s">
        <v>33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48" t="s">
        <v>25</v>
      </c>
      <c r="E30" s="133"/>
      <c r="F30" s="133"/>
      <c r="G30" s="12">
        <v>90</v>
      </c>
      <c r="H30" s="53" t="s">
        <v>49</v>
      </c>
      <c r="I30" s="29">
        <f>K20</f>
        <v>0</v>
      </c>
      <c r="J30" s="53" t="s">
        <v>49</v>
      </c>
      <c r="K30" s="12">
        <f>J5</f>
        <v>1</v>
      </c>
      <c r="L30" s="53" t="s">
        <v>33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36" t="s">
        <v>50</v>
      </c>
      <c r="E31" s="133"/>
      <c r="F31" s="133"/>
      <c r="G31" s="12">
        <v>100</v>
      </c>
      <c r="H31" s="53" t="s">
        <v>49</v>
      </c>
      <c r="I31" s="12">
        <f>E20</f>
        <v>0</v>
      </c>
      <c r="J31" s="53" t="s">
        <v>49</v>
      </c>
      <c r="K31" s="12">
        <f>J5</f>
        <v>1</v>
      </c>
      <c r="L31" s="53" t="s">
        <v>33</v>
      </c>
      <c r="M31" s="54">
        <f t="shared" si="0"/>
        <v>0</v>
      </c>
      <c r="N31" s="34">
        <v>338</v>
      </c>
      <c r="O31" s="47"/>
      <c r="P31" s="47"/>
      <c r="Q31" s="14">
        <f>PRODUCT(M31)/N31</f>
        <v>0</v>
      </c>
      <c r="R31" s="51" t="s">
        <v>51</v>
      </c>
      <c r="S31" s="62">
        <f>ROUNDUP(Q31, 0)</f>
        <v>0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36" t="s">
        <v>52</v>
      </c>
      <c r="E32" s="133"/>
      <c r="F32" s="133"/>
      <c r="G32" s="12">
        <v>2</v>
      </c>
      <c r="H32" s="53" t="s">
        <v>49</v>
      </c>
      <c r="I32" s="12">
        <f>E20</f>
        <v>0</v>
      </c>
      <c r="J32" s="53" t="s">
        <v>49</v>
      </c>
      <c r="K32" s="12">
        <f>J5</f>
        <v>1</v>
      </c>
      <c r="L32" s="53" t="s">
        <v>33</v>
      </c>
      <c r="M32" s="54">
        <f t="shared" si="0"/>
        <v>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36" t="s">
        <v>53</v>
      </c>
      <c r="E33" s="133"/>
      <c r="F33" s="133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36" t="s">
        <v>35</v>
      </c>
      <c r="D35" s="133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41" t="s">
        <v>40</v>
      </c>
      <c r="D37" s="133"/>
      <c r="E37" s="51"/>
      <c r="F37" s="136" t="s">
        <v>54</v>
      </c>
      <c r="G37" s="133"/>
      <c r="H37" s="133"/>
      <c r="I37" s="133"/>
      <c r="J37" s="133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36" t="s">
        <v>55</v>
      </c>
      <c r="E38" s="133"/>
      <c r="F38" s="133"/>
      <c r="G38" s="12">
        <v>100</v>
      </c>
      <c r="H38" s="53" t="s">
        <v>49</v>
      </c>
      <c r="I38" s="12">
        <f>E14</f>
        <v>5</v>
      </c>
      <c r="J38" s="53" t="s">
        <v>49</v>
      </c>
      <c r="K38" s="12">
        <f>J5</f>
        <v>1</v>
      </c>
      <c r="L38" s="53" t="s">
        <v>33</v>
      </c>
      <c r="M38" s="54">
        <f t="shared" ref="M38:M43" si="1">PRODUCT(G38,I38,K38)</f>
        <v>500</v>
      </c>
      <c r="N38" s="51"/>
      <c r="O38" s="51"/>
      <c r="P38" s="51"/>
      <c r="Q38" s="12">
        <f>M38</f>
        <v>500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49" t="s">
        <v>56</v>
      </c>
      <c r="E39" s="133"/>
      <c r="F39" s="133"/>
      <c r="G39" s="18">
        <v>0.5</v>
      </c>
      <c r="H39" s="53" t="s">
        <v>49</v>
      </c>
      <c r="I39" s="12">
        <f>G14</f>
        <v>0</v>
      </c>
      <c r="J39" s="53" t="s">
        <v>49</v>
      </c>
      <c r="K39" s="12">
        <f>J5</f>
        <v>1</v>
      </c>
      <c r="L39" s="53" t="s">
        <v>33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4" t="s">
        <v>38</v>
      </c>
      <c r="E40" s="133"/>
      <c r="F40" s="133"/>
      <c r="G40" s="18">
        <v>0.5</v>
      </c>
      <c r="H40" s="53" t="s">
        <v>49</v>
      </c>
      <c r="I40" s="12">
        <f>I14</f>
        <v>0</v>
      </c>
      <c r="J40" s="53" t="s">
        <v>49</v>
      </c>
      <c r="K40" s="12">
        <f>J5</f>
        <v>1</v>
      </c>
      <c r="L40" s="53" t="s">
        <v>33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37" t="s">
        <v>39</v>
      </c>
      <c r="E41" s="138"/>
      <c r="F41" s="139"/>
      <c r="G41" s="18">
        <v>0.5</v>
      </c>
      <c r="H41" s="53" t="s">
        <v>49</v>
      </c>
      <c r="I41" s="12">
        <f>K14</f>
        <v>0</v>
      </c>
      <c r="J41" s="53" t="s">
        <v>49</v>
      </c>
      <c r="K41" s="12">
        <f>J5</f>
        <v>1</v>
      </c>
      <c r="L41" s="53" t="s">
        <v>33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36" t="s">
        <v>57</v>
      </c>
      <c r="E42" s="133"/>
      <c r="F42" s="133"/>
      <c r="G42" s="12">
        <v>2</v>
      </c>
      <c r="H42" s="53" t="s">
        <v>49</v>
      </c>
      <c r="I42" s="12">
        <f>E14</f>
        <v>5</v>
      </c>
      <c r="J42" s="53" t="s">
        <v>49</v>
      </c>
      <c r="K42" s="12">
        <f>J5</f>
        <v>1</v>
      </c>
      <c r="L42" s="53" t="s">
        <v>33</v>
      </c>
      <c r="M42" s="54">
        <f t="shared" si="1"/>
        <v>10</v>
      </c>
      <c r="N42" s="51"/>
      <c r="O42" s="51"/>
      <c r="P42" s="51"/>
      <c r="Q42" s="12">
        <f>PRODUCT(20,M42)</f>
        <v>200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36" t="s">
        <v>58</v>
      </c>
      <c r="E43" s="133"/>
      <c r="F43" s="133"/>
      <c r="G43" s="14">
        <v>0.25</v>
      </c>
      <c r="H43" s="53" t="s">
        <v>49</v>
      </c>
      <c r="I43" s="12">
        <f>E14</f>
        <v>5</v>
      </c>
      <c r="J43" s="53" t="s">
        <v>49</v>
      </c>
      <c r="K43" s="12">
        <f>J5</f>
        <v>1</v>
      </c>
      <c r="L43" s="53" t="s">
        <v>33</v>
      </c>
      <c r="M43" s="18">
        <f t="shared" si="1"/>
        <v>1.25</v>
      </c>
      <c r="N43" s="53"/>
      <c r="O43" s="51"/>
      <c r="P43" s="51"/>
      <c r="Q43" s="12">
        <f>M43</f>
        <v>1.25</v>
      </c>
      <c r="R43" s="51" t="s">
        <v>59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36" t="s">
        <v>53</v>
      </c>
      <c r="E44" s="133"/>
      <c r="F44" s="13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60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36" t="s">
        <v>35</v>
      </c>
      <c r="D46" s="133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6" t="s">
        <v>17</v>
      </c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35" t="s">
        <v>18</v>
      </c>
      <c r="E49" s="133"/>
      <c r="F49" s="133"/>
      <c r="G49" s="12">
        <v>90</v>
      </c>
      <c r="H49" s="53" t="s">
        <v>49</v>
      </c>
      <c r="I49" s="40">
        <f>G8</f>
        <v>5</v>
      </c>
      <c r="J49" s="53" t="s">
        <v>49</v>
      </c>
      <c r="K49" s="12">
        <f>J5</f>
        <v>1</v>
      </c>
      <c r="L49" s="53" t="s">
        <v>33</v>
      </c>
      <c r="M49" s="54">
        <f t="shared" ref="M49:M57" si="2">PRODUCT(G49,I49,K49)</f>
        <v>450</v>
      </c>
      <c r="N49" s="54"/>
      <c r="O49" s="51"/>
      <c r="P49" s="51"/>
      <c r="Q49" s="12">
        <f t="shared" ref="Q49:Q54" si="3">M49</f>
        <v>450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6" t="s">
        <v>24</v>
      </c>
      <c r="E50" s="133"/>
      <c r="F50" s="133"/>
      <c r="G50" s="12">
        <v>80</v>
      </c>
      <c r="H50" s="53" t="s">
        <v>49</v>
      </c>
      <c r="I50" s="4">
        <f>I8</f>
        <v>0</v>
      </c>
      <c r="J50" s="53" t="s">
        <v>49</v>
      </c>
      <c r="K50" s="12">
        <f>J5</f>
        <v>1</v>
      </c>
      <c r="L50" s="53" t="s">
        <v>33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61</v>
      </c>
      <c r="E51" s="51"/>
      <c r="F51" s="51"/>
      <c r="G51" s="12">
        <v>25</v>
      </c>
      <c r="H51" s="53" t="s">
        <v>49</v>
      </c>
      <c r="I51" s="12">
        <f>E8</f>
        <v>5</v>
      </c>
      <c r="J51" s="53" t="s">
        <v>49</v>
      </c>
      <c r="K51" s="12">
        <f>J5</f>
        <v>1</v>
      </c>
      <c r="L51" s="53" t="s">
        <v>33</v>
      </c>
      <c r="M51" s="54">
        <f t="shared" si="2"/>
        <v>125</v>
      </c>
      <c r="N51" s="54"/>
      <c r="O51" s="51"/>
      <c r="P51" s="51"/>
      <c r="Q51" s="12">
        <f t="shared" si="3"/>
        <v>125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23</v>
      </c>
      <c r="E52" s="61"/>
      <c r="F52" s="61"/>
      <c r="G52" s="12">
        <v>80</v>
      </c>
      <c r="H52" s="53" t="s">
        <v>49</v>
      </c>
      <c r="I52" s="60">
        <f>K8</f>
        <v>0</v>
      </c>
      <c r="J52" s="53" t="s">
        <v>49</v>
      </c>
      <c r="K52" s="12">
        <f>J5</f>
        <v>1</v>
      </c>
      <c r="L52" s="53" t="s">
        <v>33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36" t="s">
        <v>62</v>
      </c>
      <c r="E53" s="133"/>
      <c r="F53" s="133"/>
      <c r="G53" s="12">
        <v>25</v>
      </c>
      <c r="H53" s="53" t="s">
        <v>49</v>
      </c>
      <c r="I53" s="12">
        <f>E8</f>
        <v>5</v>
      </c>
      <c r="J53" s="53" t="s">
        <v>49</v>
      </c>
      <c r="K53" s="12">
        <f>J5</f>
        <v>1</v>
      </c>
      <c r="L53" s="53" t="s">
        <v>33</v>
      </c>
      <c r="M53" s="54">
        <f t="shared" si="2"/>
        <v>125</v>
      </c>
      <c r="N53" s="54"/>
      <c r="O53" s="51"/>
      <c r="P53" s="51"/>
      <c r="Q53" s="12">
        <f t="shared" si="3"/>
        <v>125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36" t="s">
        <v>63</v>
      </c>
      <c r="E54" s="133"/>
      <c r="F54" s="133"/>
      <c r="G54" s="12">
        <v>25</v>
      </c>
      <c r="H54" s="53" t="s">
        <v>49</v>
      </c>
      <c r="I54" s="12">
        <f>E8</f>
        <v>5</v>
      </c>
      <c r="J54" s="53" t="s">
        <v>49</v>
      </c>
      <c r="K54" s="12">
        <f>J5</f>
        <v>1</v>
      </c>
      <c r="L54" s="53" t="s">
        <v>33</v>
      </c>
      <c r="M54" s="54">
        <f t="shared" si="2"/>
        <v>125</v>
      </c>
      <c r="N54" s="54"/>
      <c r="O54" s="51"/>
      <c r="P54" s="51"/>
      <c r="Q54" s="12">
        <f t="shared" si="3"/>
        <v>125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51" t="s">
        <v>64</v>
      </c>
      <c r="E55" s="133"/>
      <c r="F55" s="133"/>
      <c r="G55" s="12">
        <v>25</v>
      </c>
      <c r="H55" s="53" t="s">
        <v>49</v>
      </c>
      <c r="I55" s="12">
        <f>K8</f>
        <v>0</v>
      </c>
      <c r="J55" s="53" t="s">
        <v>49</v>
      </c>
      <c r="K55" s="12">
        <f>J5</f>
        <v>1</v>
      </c>
      <c r="L55" s="53" t="s">
        <v>33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36" t="s">
        <v>65</v>
      </c>
      <c r="E56" s="133"/>
      <c r="F56" s="133"/>
      <c r="G56" s="12">
        <v>40</v>
      </c>
      <c r="H56" s="53" t="s">
        <v>49</v>
      </c>
      <c r="I56" s="12">
        <f>E8</f>
        <v>5</v>
      </c>
      <c r="J56" s="53" t="s">
        <v>49</v>
      </c>
      <c r="K56" s="12">
        <f>J5</f>
        <v>1</v>
      </c>
      <c r="L56" s="53" t="s">
        <v>33</v>
      </c>
      <c r="M56" s="54">
        <f t="shared" si="2"/>
        <v>200</v>
      </c>
      <c r="N56" s="51"/>
      <c r="O56" s="51"/>
      <c r="P56" s="51"/>
      <c r="Q56" s="12">
        <f>M56</f>
        <v>200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36" t="s">
        <v>52</v>
      </c>
      <c r="E57" s="133"/>
      <c r="F57" s="133"/>
      <c r="G57" s="12">
        <v>2</v>
      </c>
      <c r="H57" s="53" t="s">
        <v>49</v>
      </c>
      <c r="I57" s="12">
        <f>E8</f>
        <v>5</v>
      </c>
      <c r="J57" s="53" t="s">
        <v>49</v>
      </c>
      <c r="K57" s="12">
        <f>J5</f>
        <v>1</v>
      </c>
      <c r="L57" s="53" t="s">
        <v>33</v>
      </c>
      <c r="M57" s="54">
        <f t="shared" si="2"/>
        <v>10</v>
      </c>
      <c r="N57" s="51"/>
      <c r="O57" s="51"/>
      <c r="P57" s="51"/>
      <c r="Q57" s="12">
        <f>PRODUCT(30,M57)</f>
        <v>300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36" t="s">
        <v>53</v>
      </c>
      <c r="E58" s="133"/>
      <c r="F58" s="13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36" t="s">
        <v>66</v>
      </c>
      <c r="D61" s="133"/>
      <c r="E61" s="133"/>
      <c r="F61" s="133"/>
      <c r="G61" s="133"/>
      <c r="H61" s="133"/>
      <c r="I61" s="133"/>
      <c r="J61" s="133"/>
      <c r="K61" s="133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36" t="s">
        <v>67</v>
      </c>
      <c r="E63" s="133"/>
      <c r="F63" s="133"/>
      <c r="G63" s="12">
        <v>25</v>
      </c>
      <c r="H63" s="53" t="s">
        <v>49</v>
      </c>
      <c r="I63" s="12">
        <f>$E$22</f>
        <v>10</v>
      </c>
      <c r="J63" s="53" t="s">
        <v>49</v>
      </c>
      <c r="K63" s="12">
        <f>J5</f>
        <v>1</v>
      </c>
      <c r="L63" s="53" t="s">
        <v>33</v>
      </c>
      <c r="M63" s="54">
        <f>PRODUCT(G63,I63,K63)</f>
        <v>250</v>
      </c>
      <c r="P63" s="51"/>
      <c r="Q63" s="12">
        <f>M63</f>
        <v>250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68</v>
      </c>
      <c r="E64" s="51"/>
      <c r="F64" s="51"/>
      <c r="G64" s="12"/>
      <c r="H64" s="53"/>
      <c r="I64" s="14"/>
      <c r="J64" s="53"/>
      <c r="K64" s="12"/>
      <c r="L64" s="53"/>
      <c r="M64" s="8" t="s">
        <v>69</v>
      </c>
      <c r="P64" s="51"/>
      <c r="Q64" s="12"/>
      <c r="R64" s="51"/>
      <c r="S64" s="51"/>
      <c r="T64" s="33"/>
      <c r="U64" s="51"/>
      <c r="V64" s="51"/>
    </row>
    <row r="65" spans="2:22" ht="18" customHeight="1" x14ac:dyDescent="0.25">
      <c r="B65" s="54"/>
      <c r="C65" s="9">
        <v>3</v>
      </c>
      <c r="D65" s="136" t="s">
        <v>53</v>
      </c>
      <c r="E65" s="133"/>
      <c r="F65" s="133"/>
      <c r="G65" s="27">
        <v>0.16</v>
      </c>
      <c r="H65" s="53" t="s">
        <v>49</v>
      </c>
      <c r="I65" s="12">
        <f>$E$22</f>
        <v>10</v>
      </c>
      <c r="J65" s="53" t="s">
        <v>49</v>
      </c>
      <c r="K65" s="12">
        <f>J5</f>
        <v>1</v>
      </c>
      <c r="L65" s="53" t="s">
        <v>33</v>
      </c>
      <c r="M65" s="14">
        <f>PRODUCT(G65,I65,K65)</f>
        <v>1.6</v>
      </c>
      <c r="N65" s="142"/>
      <c r="O65" s="133"/>
      <c r="P65" s="51"/>
      <c r="Q65" s="12">
        <f>M65</f>
        <v>1.6</v>
      </c>
      <c r="R65" s="51" t="s">
        <v>59</v>
      </c>
      <c r="S65" s="51"/>
      <c r="T65" s="44"/>
      <c r="U65" s="51"/>
      <c r="V65" s="51"/>
    </row>
    <row r="66" spans="2:22" ht="18" customHeight="1" x14ac:dyDescent="0.25">
      <c r="B66" s="54"/>
      <c r="C66" s="32">
        <v>4</v>
      </c>
      <c r="D66" s="136" t="s">
        <v>70</v>
      </c>
      <c r="E66" s="133"/>
      <c r="F66" s="133"/>
      <c r="G66" s="51"/>
      <c r="H66" s="51"/>
      <c r="I66" s="51"/>
      <c r="J66" s="51"/>
      <c r="K66" s="51"/>
      <c r="L66" s="51"/>
      <c r="M66" s="51"/>
      <c r="N66" s="142"/>
      <c r="O66" s="133"/>
      <c r="P66" s="51"/>
      <c r="Q66" s="12">
        <v>1</v>
      </c>
      <c r="R66" s="51" t="s">
        <v>71</v>
      </c>
      <c r="S66" s="51"/>
      <c r="T66" s="44"/>
      <c r="U66" s="51"/>
      <c r="V66" s="51"/>
    </row>
    <row r="67" spans="2:22" ht="18" customHeight="1" x14ac:dyDescent="0.25">
      <c r="B67" s="54"/>
      <c r="C67" s="9">
        <v>5</v>
      </c>
      <c r="D67" s="136" t="s">
        <v>72</v>
      </c>
      <c r="E67" s="133"/>
      <c r="F67" s="133"/>
      <c r="G67" s="51"/>
      <c r="H67" s="51"/>
      <c r="I67" s="51"/>
      <c r="J67" s="51"/>
      <c r="K67" s="51"/>
      <c r="L67" s="51"/>
      <c r="M67" s="51"/>
      <c r="N67" s="1" t="s">
        <v>73</v>
      </c>
      <c r="O67" s="1"/>
      <c r="P67" s="51"/>
      <c r="Q67" s="12"/>
      <c r="R67" s="51"/>
      <c r="S67" s="51"/>
      <c r="T67" s="44"/>
      <c r="U67" s="51"/>
      <c r="V67" s="51"/>
    </row>
    <row r="68" spans="2:22" customFormat="1" ht="18" customHeight="1" x14ac:dyDescent="0.25">
      <c r="B68" s="54"/>
      <c r="C68" s="9">
        <v>6</v>
      </c>
      <c r="D68" s="51" t="s">
        <v>74</v>
      </c>
      <c r="E68" s="51"/>
      <c r="F68" s="51"/>
      <c r="G68" s="12">
        <v>10</v>
      </c>
      <c r="H68" s="53" t="s">
        <v>49</v>
      </c>
      <c r="I68" s="12">
        <f>$E$22</f>
        <v>10</v>
      </c>
      <c r="J68" s="53" t="s">
        <v>49</v>
      </c>
      <c r="K68" s="12">
        <f>J5</f>
        <v>1</v>
      </c>
      <c r="L68" s="53" t="s">
        <v>33</v>
      </c>
      <c r="M68" s="54">
        <f>PRODUCT(G68,I68,K68)</f>
        <v>100</v>
      </c>
      <c r="N68" s="1"/>
      <c r="O68" s="1"/>
      <c r="P68" s="51"/>
      <c r="Q68" s="12">
        <f>M68</f>
        <v>100</v>
      </c>
      <c r="R68" s="51"/>
      <c r="S68" s="51"/>
      <c r="T68" s="44"/>
      <c r="U68" s="51"/>
      <c r="V68" s="51"/>
    </row>
    <row r="69" spans="2:22" customFormat="1" ht="18" customHeight="1" x14ac:dyDescent="0.25">
      <c r="B69" s="54"/>
      <c r="C69" s="9"/>
      <c r="D69" s="51"/>
      <c r="E69" s="51"/>
      <c r="F69" s="51"/>
      <c r="G69" s="12"/>
      <c r="H69" s="53"/>
      <c r="I69" s="12"/>
      <c r="J69" s="53"/>
      <c r="K69" s="12"/>
      <c r="L69" s="53"/>
      <c r="M69" s="54"/>
      <c r="N69" s="1"/>
      <c r="O69" s="1"/>
      <c r="P69" s="51"/>
      <c r="Q69" s="12"/>
      <c r="R69" s="51"/>
      <c r="S69" s="51"/>
      <c r="T69" s="44"/>
      <c r="U69" s="51"/>
      <c r="V69" s="51"/>
    </row>
    <row r="70" spans="2:22" customFormat="1" ht="18" customHeight="1" x14ac:dyDescent="0.25">
      <c r="B70" s="54"/>
      <c r="C70" s="9"/>
      <c r="D70" s="51"/>
      <c r="E70" s="51"/>
      <c r="F70" s="51"/>
      <c r="G70" s="12"/>
      <c r="H70" s="53"/>
      <c r="I70" s="27"/>
      <c r="J70" s="53"/>
      <c r="K70" s="12"/>
      <c r="L70" s="53"/>
      <c r="M70" s="54"/>
      <c r="N70" s="1"/>
      <c r="O70" s="1"/>
      <c r="P70" s="51"/>
      <c r="Q70" s="12"/>
      <c r="R70" s="51"/>
      <c r="S70" s="51"/>
      <c r="T70" s="44"/>
      <c r="U70" s="51"/>
      <c r="V70" s="51"/>
    </row>
    <row r="71" spans="2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2376.25</v>
      </c>
      <c r="R71" s="51"/>
      <c r="S71" s="51"/>
      <c r="T71" s="44"/>
      <c r="U71" s="51"/>
      <c r="V71" s="51"/>
    </row>
    <row r="72" spans="2:22" ht="18" customHeight="1" x14ac:dyDescent="0.2"/>
  </sheetData>
  <mergeCells count="50">
    <mergeCell ref="N65:O65"/>
    <mergeCell ref="D57:F57"/>
    <mergeCell ref="O5:R5"/>
    <mergeCell ref="I23:J23"/>
    <mergeCell ref="D44:F44"/>
    <mergeCell ref="F5:I5"/>
    <mergeCell ref="C48:D48"/>
    <mergeCell ref="C17:D17"/>
    <mergeCell ref="F37:J37"/>
    <mergeCell ref="Q24:S24"/>
    <mergeCell ref="D31:F31"/>
    <mergeCell ref="D40:F40"/>
    <mergeCell ref="C37:D37"/>
    <mergeCell ref="D67:F67"/>
    <mergeCell ref="C11:D11"/>
    <mergeCell ref="D54:F54"/>
    <mergeCell ref="D50:F50"/>
    <mergeCell ref="D49:F49"/>
    <mergeCell ref="D63:F63"/>
    <mergeCell ref="D65:F65"/>
    <mergeCell ref="K5:N5"/>
    <mergeCell ref="D55:F55"/>
    <mergeCell ref="F17:J17"/>
    <mergeCell ref="D42:F42"/>
    <mergeCell ref="D38:F38"/>
    <mergeCell ref="C46:D46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0:F30"/>
    <mergeCell ref="D39:F39"/>
    <mergeCell ref="D27:F27"/>
    <mergeCell ref="F11:J11"/>
    <mergeCell ref="D41:F41"/>
    <mergeCell ref="K24:L24"/>
    <mergeCell ref="D32:F32"/>
    <mergeCell ref="C14:D14"/>
    <mergeCell ref="K22:L22"/>
    <mergeCell ref="D33:F33"/>
  </mergeCells>
  <pageMargins left="0.3" right="0.28999999999999998" top="0.25" bottom="0.31" header="0.37" footer="0.31"/>
  <pageSetup paperSize="9" scale="42" orientation="landscape" useFirstPageNumber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График</vt:lpstr>
      <vt:lpstr>Шаблон</vt:lpstr>
      <vt:lpstr>Волкова А</vt:lpstr>
      <vt:lpstr>Ковалев Б</vt:lpstr>
      <vt:lpstr>Панин А</vt:lpstr>
      <vt:lpstr>Панин С</vt:lpstr>
      <vt:lpstr>Рагулин С</vt:lpstr>
      <vt:lpstr>График!Область_печати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</dc:creator>
  <cp:lastModifiedBy>Leif</cp:lastModifiedBy>
  <cp:lastPrinted>2024-04-15T15:55:43Z</cp:lastPrinted>
  <dcterms:created xsi:type="dcterms:W3CDTF">2024-04-13T14:44:22Z</dcterms:created>
  <dcterms:modified xsi:type="dcterms:W3CDTF">2025-10-12T12:32:44Z</dcterms:modified>
</cp:coreProperties>
</file>